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smith_j_wehi_edu_au/Documents/Documents/Testing-Git/proxipal/app/data/241220_iPLA_NfLplasma_demo/251006/"/>
    </mc:Choice>
  </mc:AlternateContent>
  <xr:revisionPtr revIDLastSave="194" documentId="13_ncr:1_{E06BAA93-A5C0-8B44-A78C-82EB619886CD}" xr6:coauthVersionLast="47" xr6:coauthVersionMax="47" xr10:uidLastSave="{C43A7E15-F707-493B-B0A5-B6D63AA90684}"/>
  <bookViews>
    <workbookView xWindow="60" yWindow="15" windowWidth="23010" windowHeight="12210" xr2:uid="{4D99390B-9292-4C1E-BC74-DE0E0B893356}"/>
  </bookViews>
  <sheets>
    <sheet name="e104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3" i="1" l="1"/>
  <c r="AC61" i="1"/>
  <c r="AB61" i="1"/>
  <c r="AI68" i="1"/>
  <c r="AH68" i="1"/>
  <c r="AG68" i="1"/>
  <c r="AF68" i="1"/>
  <c r="AE68" i="1"/>
  <c r="AD68" i="1"/>
  <c r="AC68" i="1"/>
  <c r="AB68" i="1"/>
  <c r="AA68" i="1"/>
  <c r="Z68" i="1"/>
  <c r="Y68" i="1"/>
  <c r="X68" i="1"/>
  <c r="AI67" i="1"/>
  <c r="AH67" i="1"/>
  <c r="AG67" i="1"/>
  <c r="AF67" i="1"/>
  <c r="AE67" i="1"/>
  <c r="AD67" i="1"/>
  <c r="AC67" i="1"/>
  <c r="AB67" i="1"/>
  <c r="AA67" i="1"/>
  <c r="Z67" i="1"/>
  <c r="Y67" i="1"/>
  <c r="X67" i="1"/>
  <c r="AI66" i="1"/>
  <c r="AH66" i="1"/>
  <c r="AG66" i="1"/>
  <c r="AF66" i="1"/>
  <c r="AE66" i="1"/>
  <c r="AD66" i="1"/>
  <c r="AC66" i="1"/>
  <c r="AB66" i="1"/>
  <c r="AA66" i="1"/>
  <c r="Z66" i="1"/>
  <c r="Y66" i="1"/>
  <c r="X66" i="1"/>
  <c r="AI65" i="1"/>
  <c r="AH65" i="1"/>
  <c r="AG65" i="1"/>
  <c r="AF65" i="1"/>
  <c r="AE65" i="1"/>
  <c r="AD65" i="1"/>
  <c r="AC65" i="1"/>
  <c r="AB65" i="1"/>
  <c r="AA65" i="1"/>
  <c r="Z65" i="1"/>
  <c r="Y65" i="1"/>
  <c r="X65" i="1"/>
  <c r="AI64" i="1"/>
  <c r="AH64" i="1"/>
  <c r="AG64" i="1"/>
  <c r="AF64" i="1"/>
  <c r="AE64" i="1"/>
  <c r="AD64" i="1"/>
  <c r="AC64" i="1"/>
  <c r="AB64" i="1"/>
  <c r="AA64" i="1"/>
  <c r="Z64" i="1"/>
  <c r="Y64" i="1"/>
  <c r="X64" i="1"/>
  <c r="AI63" i="1"/>
  <c r="AH63" i="1"/>
  <c r="AG63" i="1"/>
  <c r="AF63" i="1"/>
  <c r="AE63" i="1"/>
  <c r="AD63" i="1"/>
  <c r="AC63" i="1"/>
  <c r="AB63" i="1"/>
  <c r="AA63" i="1"/>
  <c r="Z63" i="1"/>
  <c r="Y63" i="1"/>
  <c r="AI62" i="1"/>
  <c r="AH62" i="1"/>
  <c r="AG62" i="1"/>
  <c r="AF62" i="1"/>
  <c r="AE62" i="1"/>
  <c r="AD62" i="1"/>
  <c r="AC62" i="1"/>
  <c r="AB62" i="1"/>
  <c r="AA62" i="1"/>
  <c r="Z62" i="1"/>
  <c r="Y62" i="1"/>
  <c r="X62" i="1"/>
  <c r="AI61" i="1"/>
  <c r="AH61" i="1"/>
  <c r="AG61" i="1"/>
  <c r="AF61" i="1"/>
  <c r="AE61" i="1"/>
  <c r="AD61" i="1"/>
  <c r="AA61" i="1"/>
  <c r="Z61" i="1"/>
  <c r="Y61" i="1"/>
  <c r="X61" i="1"/>
  <c r="X52" i="1" l="1"/>
  <c r="AE56" i="1"/>
  <c r="X51" i="1"/>
  <c r="AE51" i="1" s="1"/>
  <c r="O90" i="1" l="1" a="1"/>
  <c r="O90" i="1" s="1"/>
  <c r="O78" i="1" a="1"/>
  <c r="O78" i="1" s="1"/>
  <c r="O66" i="1" a="1"/>
  <c r="O66" i="1" s="1"/>
  <c r="O54" i="1" a="1"/>
  <c r="O54" i="1" s="1"/>
  <c r="O42" i="1" a="1"/>
  <c r="O42" i="1" s="1"/>
  <c r="O30" i="1" a="1"/>
  <c r="O30" i="1" s="1"/>
  <c r="O18" i="1" a="1"/>
  <c r="O18" i="1" s="1"/>
  <c r="O6" i="1" a="1"/>
  <c r="O6" i="1" s="1"/>
  <c r="N90" i="1" a="1"/>
  <c r="N90" i="1" s="1"/>
  <c r="N78" i="1" a="1"/>
  <c r="N78" i="1" s="1"/>
  <c r="N66" i="1" a="1"/>
  <c r="N66" i="1" s="1"/>
  <c r="N54" i="1" a="1"/>
  <c r="N54" i="1" s="1"/>
  <c r="N42" i="1" a="1"/>
  <c r="N42" i="1" s="1"/>
  <c r="N30" i="1" a="1"/>
  <c r="N30" i="1" s="1"/>
  <c r="N18" i="1" a="1"/>
  <c r="N18" i="1" s="1"/>
  <c r="N6" i="1" a="1"/>
  <c r="N6" i="1" s="1"/>
  <c r="L90" i="1" a="1"/>
  <c r="L90" i="1" s="1"/>
  <c r="K90" i="1" a="1"/>
  <c r="L78" i="1" a="1"/>
  <c r="L78" i="1" s="1"/>
  <c r="L66" i="1" a="1"/>
  <c r="L66" i="1" s="1"/>
  <c r="L54" i="1" a="1"/>
  <c r="L54" i="1" s="1"/>
  <c r="L42" i="1" a="1"/>
  <c r="L42" i="1" s="1"/>
  <c r="L30" i="1" a="1"/>
  <c r="L30" i="1" s="1"/>
  <c r="L18" i="1" a="1"/>
  <c r="L18" i="1" s="1"/>
  <c r="L6" i="1" a="1"/>
  <c r="L6" i="1" s="1"/>
  <c r="M90" i="1" a="1"/>
  <c r="M90" i="1" s="1"/>
  <c r="M78" i="1" a="1"/>
  <c r="M78" i="1" s="1"/>
  <c r="M66" i="1" a="1"/>
  <c r="M66" i="1" s="1"/>
  <c r="M54" i="1" a="1"/>
  <c r="M54" i="1" s="1"/>
  <c r="M42" i="1" a="1"/>
  <c r="M42" i="1" s="1"/>
  <c r="M30" i="1" a="1"/>
  <c r="M30" i="1" s="1"/>
  <c r="M18" i="1" a="1"/>
  <c r="M18" i="1" s="1"/>
  <c r="M6" i="1" a="1"/>
  <c r="M6" i="1" s="1"/>
  <c r="H90" i="1" a="1"/>
  <c r="K78" i="1" a="1"/>
  <c r="H78" i="1" a="1"/>
  <c r="K66" i="1" a="1"/>
  <c r="H66" i="1" a="1"/>
  <c r="K54" i="1" a="1"/>
  <c r="H54" i="1" a="1"/>
  <c r="X47" i="1"/>
  <c r="AE47" i="1" s="1"/>
  <c r="X45" i="1"/>
  <c r="K42" i="1" a="1"/>
  <c r="H42" i="1" a="1"/>
  <c r="X39" i="1" a="1"/>
  <c r="X38" i="1" a="1"/>
  <c r="Y51" i="1" s="1"/>
  <c r="X37" i="1" a="1"/>
  <c r="Y50" i="1" s="1"/>
  <c r="X36" i="1" a="1"/>
  <c r="Y49" i="1" s="1"/>
  <c r="X35" i="1" a="1"/>
  <c r="Y48" i="1" s="1"/>
  <c r="X34" i="1" a="1"/>
  <c r="Y47" i="1" s="1"/>
  <c r="X33" i="1" a="1"/>
  <c r="Y46" i="1" s="1"/>
  <c r="X32" i="1" a="1"/>
  <c r="Y45" i="1" s="1"/>
  <c r="K30" i="1" a="1"/>
  <c r="H30" i="1" a="1"/>
  <c r="K18" i="1" a="1"/>
  <c r="H18" i="1" a="1"/>
  <c r="H18" i="1" s="1"/>
  <c r="K6" i="1" a="1"/>
  <c r="H6" i="1" a="1"/>
  <c r="H6" i="1" s="1"/>
  <c r="X39" i="1" l="1"/>
  <c r="Y52" i="1"/>
  <c r="AE45" i="1"/>
  <c r="X38" i="1"/>
  <c r="X35" i="1"/>
  <c r="X32" i="1"/>
  <c r="K6" i="1"/>
  <c r="K54" i="1"/>
  <c r="K18" i="1"/>
  <c r="K66" i="1"/>
  <c r="K30" i="1"/>
  <c r="K90" i="1"/>
  <c r="K42" i="1"/>
  <c r="K78" i="1"/>
  <c r="X37" i="1"/>
  <c r="X33" i="1"/>
  <c r="X46" i="1"/>
  <c r="AE46" i="1" s="1"/>
  <c r="H78" i="1"/>
  <c r="H90" i="1"/>
  <c r="H66" i="1"/>
  <c r="H42" i="1"/>
  <c r="H30" i="1"/>
  <c r="X34" i="1"/>
  <c r="X36" i="1"/>
  <c r="H54" i="1"/>
  <c r="X48" i="1" l="1"/>
  <c r="AE48" i="1" s="1"/>
  <c r="X49" i="1" l="1"/>
  <c r="AE49" i="1" l="1"/>
  <c r="X50" i="1"/>
  <c r="AE50" i="1" s="1"/>
  <c r="Z54" i="1" l="1" a="1"/>
  <c r="Z54" i="1" s="1"/>
  <c r="Z55" i="1"/>
  <c r="AC53" i="1" a="1"/>
  <c r="AC53" i="1" s="1"/>
  <c r="AC56" i="1" s="1"/>
  <c r="AB55" i="1"/>
  <c r="Y54" i="1" a="1"/>
  <c r="Y54" i="1" s="1"/>
  <c r="AA53" i="1" a="1"/>
  <c r="AA53" i="1" s="1"/>
  <c r="AA56" i="1" s="1"/>
  <c r="AD55" i="1"/>
  <c r="AB53" i="1" a="1"/>
  <c r="AB53" i="1" s="1"/>
  <c r="AB56" i="1" s="1"/>
  <c r="AC55" i="1"/>
  <c r="AC54" i="1" a="1"/>
  <c r="AC54" i="1" s="1"/>
  <c r="Y55" i="1"/>
  <c r="AB54" i="1" a="1"/>
  <c r="AB54" i="1" s="1"/>
  <c r="Y53" i="1" a="1"/>
  <c r="Y53" i="1" s="1"/>
  <c r="Y56" i="1" s="1"/>
  <c r="AA55" i="1"/>
  <c r="AD54" i="1" a="1"/>
  <c r="AD54" i="1" s="1"/>
  <c r="AA54" i="1" a="1"/>
  <c r="AA54" i="1" s="1"/>
  <c r="AD53" i="1" a="1"/>
  <c r="AD53" i="1" s="1"/>
  <c r="AD56" i="1" s="1"/>
  <c r="Z53" i="1" a="1"/>
  <c r="Z53" i="1" s="1"/>
  <c r="Z56" i="1" s="1"/>
  <c r="Q65" i="1" l="1"/>
  <c r="S65" i="1" s="1"/>
  <c r="Q7" i="1"/>
  <c r="S7" i="1" s="1"/>
  <c r="Q78" i="1"/>
  <c r="S78" i="1" s="1"/>
  <c r="Q19" i="1"/>
  <c r="S19" i="1" s="1"/>
  <c r="Q18" i="1"/>
  <c r="Q31" i="1"/>
  <c r="S31" i="1" s="1"/>
  <c r="Q55" i="1"/>
  <c r="S55" i="1" s="1"/>
  <c r="Q30" i="1"/>
  <c r="Q54" i="1"/>
  <c r="S54" i="1" s="1"/>
  <c r="Q91" i="1"/>
  <c r="S91" i="1" s="1"/>
  <c r="Q42" i="1"/>
  <c r="Q92" i="1"/>
  <c r="Q46" i="1"/>
  <c r="Q45" i="1"/>
  <c r="S45" i="1" s="1"/>
  <c r="Q47" i="1"/>
  <c r="S47" i="1" s="1"/>
  <c r="Q56" i="1"/>
  <c r="Q58" i="1"/>
  <c r="Q33" i="1"/>
  <c r="S33" i="1" s="1"/>
  <c r="Q68" i="1"/>
  <c r="Q93" i="1"/>
  <c r="S93" i="1" s="1"/>
  <c r="Q95" i="1"/>
  <c r="S95" i="1" s="1"/>
  <c r="Q32" i="1"/>
  <c r="Q81" i="1"/>
  <c r="S81" i="1" s="1"/>
  <c r="Q44" i="1"/>
  <c r="Q35" i="1"/>
  <c r="S35" i="1" s="1"/>
  <c r="Q34" i="1"/>
  <c r="Q57" i="1"/>
  <c r="S57" i="1" s="1"/>
  <c r="Q80" i="1"/>
  <c r="Q21" i="1"/>
  <c r="S21" i="1" s="1"/>
  <c r="Q10" i="1"/>
  <c r="Q59" i="1"/>
  <c r="S59" i="1" s="1"/>
  <c r="Q69" i="1"/>
  <c r="S69" i="1" s="1"/>
  <c r="Q23" i="1"/>
  <c r="S23" i="1" s="1"/>
  <c r="Q20" i="1"/>
  <c r="Q94" i="1"/>
  <c r="Q22" i="1"/>
  <c r="Q8" i="1"/>
  <c r="Q90" i="1"/>
  <c r="S90" i="1" s="1"/>
  <c r="Q70" i="1"/>
  <c r="Q9" i="1"/>
  <c r="S9" i="1" s="1"/>
  <c r="Q83" i="1"/>
  <c r="S83" i="1" s="1"/>
  <c r="Q82" i="1"/>
  <c r="Q11" i="1"/>
  <c r="S11" i="1" s="1"/>
  <c r="Q71" i="1"/>
  <c r="S71" i="1" s="1"/>
  <c r="Q43" i="1"/>
  <c r="S43" i="1" s="1"/>
  <c r="Q67" i="1"/>
  <c r="S67" i="1" s="1"/>
  <c r="Q66" i="1"/>
  <c r="S66" i="1" s="1"/>
  <c r="Q6" i="1"/>
  <c r="Q79" i="1"/>
  <c r="S79" i="1" s="1"/>
  <c r="Q48" i="1"/>
  <c r="Q39" i="1"/>
  <c r="S39" i="1" s="1"/>
  <c r="Q28" i="1"/>
  <c r="Q14" i="1"/>
  <c r="Q26" i="1"/>
  <c r="Q37" i="1"/>
  <c r="S37" i="1" s="1"/>
  <c r="Q12" i="1"/>
  <c r="Q17" i="1"/>
  <c r="S17" i="1" s="1"/>
  <c r="Q98" i="1"/>
  <c r="Q88" i="1"/>
  <c r="Q73" i="1"/>
  <c r="S73" i="1" s="1"/>
  <c r="Q89" i="1"/>
  <c r="S89" i="1" s="1"/>
  <c r="Q16" i="1"/>
  <c r="Q75" i="1"/>
  <c r="S75" i="1" s="1"/>
  <c r="Q84" i="1"/>
  <c r="Q51" i="1"/>
  <c r="S51" i="1" s="1"/>
  <c r="Q77" i="1"/>
  <c r="S77" i="1" s="1"/>
  <c r="Q25" i="1"/>
  <c r="S25" i="1" s="1"/>
  <c r="Q60" i="1"/>
  <c r="Q40" i="1"/>
  <c r="Q38" i="1"/>
  <c r="Q62" i="1"/>
  <c r="Q13" i="1"/>
  <c r="S13" i="1" s="1"/>
  <c r="Q87" i="1"/>
  <c r="S87" i="1" s="1"/>
  <c r="Q85" i="1"/>
  <c r="S85" i="1" s="1"/>
  <c r="Q41" i="1"/>
  <c r="S41" i="1" s="1"/>
  <c r="Q27" i="1"/>
  <c r="S27" i="1" s="1"/>
  <c r="Q97" i="1"/>
  <c r="S97" i="1" s="1"/>
  <c r="Q74" i="1"/>
  <c r="Q63" i="1"/>
  <c r="S63" i="1" s="1"/>
  <c r="Q24" i="1"/>
  <c r="Q86" i="1"/>
  <c r="Q96" i="1"/>
  <c r="Q101" i="1"/>
  <c r="S101" i="1" s="1"/>
  <c r="Q15" i="1"/>
  <c r="S15" i="1" s="1"/>
  <c r="Q52" i="1"/>
  <c r="Q50" i="1"/>
  <c r="Q61" i="1"/>
  <c r="S61" i="1" s="1"/>
  <c r="Q29" i="1"/>
  <c r="S29" i="1" s="1"/>
  <c r="Q49" i="1"/>
  <c r="S49" i="1" s="1"/>
  <c r="Q53" i="1"/>
  <c r="S53" i="1" s="1"/>
  <c r="Q72" i="1"/>
  <c r="Q100" i="1"/>
  <c r="Q99" i="1"/>
  <c r="S99" i="1" s="1"/>
  <c r="Q64" i="1"/>
  <c r="Q36" i="1"/>
  <c r="Q76" i="1"/>
  <c r="R6" i="1" l="1"/>
  <c r="R19" i="1"/>
  <c r="R31" i="1"/>
  <c r="R18" i="1"/>
  <c r="R78" i="1"/>
  <c r="R66" i="1"/>
  <c r="S30" i="1"/>
  <c r="R8" i="1"/>
  <c r="R42" i="1"/>
  <c r="R67" i="1"/>
  <c r="R54" i="1"/>
  <c r="R79" i="1"/>
  <c r="S18" i="1"/>
  <c r="S6" i="1"/>
  <c r="X74" i="1" a="1"/>
  <c r="X74" i="1" s="1"/>
  <c r="R90" i="1"/>
  <c r="S42" i="1"/>
  <c r="R55" i="1"/>
  <c r="R30" i="1"/>
  <c r="R7" i="1"/>
  <c r="R43" i="1"/>
  <c r="S44" i="1"/>
  <c r="R45" i="1"/>
  <c r="R44" i="1"/>
  <c r="X73" i="1" a="1"/>
  <c r="X73" i="1" s="1"/>
  <c r="S82" i="1"/>
  <c r="R82" i="1"/>
  <c r="R83" i="1"/>
  <c r="R9" i="1"/>
  <c r="S8" i="1"/>
  <c r="S12" i="1"/>
  <c r="R12" i="1"/>
  <c r="R13" i="1"/>
  <c r="S36" i="1"/>
  <c r="R36" i="1"/>
  <c r="R37" i="1"/>
  <c r="S94" i="1"/>
  <c r="R95" i="1"/>
  <c r="R94" i="1"/>
  <c r="R97" i="1"/>
  <c r="S96" i="1"/>
  <c r="R96" i="1"/>
  <c r="R70" i="1"/>
  <c r="R71" i="1"/>
  <c r="S70" i="1"/>
  <c r="S74" i="1"/>
  <c r="R75" i="1"/>
  <c r="R74" i="1"/>
  <c r="R58" i="1"/>
  <c r="S58" i="1"/>
  <c r="R59" i="1"/>
  <c r="R23" i="1"/>
  <c r="R22" i="1"/>
  <c r="S22" i="1"/>
  <c r="S64" i="1"/>
  <c r="R64" i="1"/>
  <c r="R65" i="1"/>
  <c r="R27" i="1"/>
  <c r="S26" i="1"/>
  <c r="R26" i="1"/>
  <c r="R21" i="1"/>
  <c r="S20" i="1"/>
  <c r="R20" i="1"/>
  <c r="S100" i="1"/>
  <c r="R101" i="1"/>
  <c r="R100" i="1"/>
  <c r="S40" i="1"/>
  <c r="R40" i="1"/>
  <c r="R41" i="1"/>
  <c r="S60" i="1"/>
  <c r="R61" i="1"/>
  <c r="R60" i="1"/>
  <c r="S80" i="1"/>
  <c r="R81" i="1"/>
  <c r="R80" i="1"/>
  <c r="S84" i="1"/>
  <c r="R85" i="1"/>
  <c r="R84" i="1"/>
  <c r="R16" i="1"/>
  <c r="S16" i="1"/>
  <c r="R17" i="1"/>
  <c r="R25" i="1"/>
  <c r="S24" i="1"/>
  <c r="R24" i="1"/>
  <c r="R68" i="1"/>
  <c r="R69" i="1"/>
  <c r="S68" i="1"/>
  <c r="R98" i="1"/>
  <c r="R99" i="1"/>
  <c r="S98" i="1"/>
  <c r="R76" i="1"/>
  <c r="R77" i="1"/>
  <c r="S76" i="1"/>
  <c r="X79" i="1" a="1"/>
  <c r="X79" i="1" s="1"/>
  <c r="S28" i="1"/>
  <c r="R29" i="1"/>
  <c r="R28" i="1"/>
  <c r="R73" i="1"/>
  <c r="S72" i="1"/>
  <c r="R72" i="1"/>
  <c r="X76" i="1" a="1"/>
  <c r="X76" i="1" s="1"/>
  <c r="S38" i="1"/>
  <c r="R38" i="1"/>
  <c r="R39" i="1"/>
  <c r="S10" i="1"/>
  <c r="R11" i="1"/>
  <c r="R10" i="1"/>
  <c r="X77" i="1" a="1"/>
  <c r="X77" i="1" s="1"/>
  <c r="R57" i="1"/>
  <c r="S56" i="1"/>
  <c r="R56" i="1"/>
  <c r="X80" i="1" a="1"/>
  <c r="X80" i="1" s="1"/>
  <c r="R91" i="1"/>
  <c r="R50" i="1"/>
  <c r="S50" i="1"/>
  <c r="R51" i="1"/>
  <c r="R35" i="1"/>
  <c r="S34" i="1"/>
  <c r="R34" i="1"/>
  <c r="S32" i="1"/>
  <c r="R33" i="1"/>
  <c r="R32" i="1"/>
  <c r="R87" i="1"/>
  <c r="R86" i="1"/>
  <c r="S86" i="1"/>
  <c r="X75" i="1" a="1"/>
  <c r="X75" i="1" s="1"/>
  <c r="S88" i="1"/>
  <c r="R88" i="1"/>
  <c r="R89" i="1"/>
  <c r="R15" i="1"/>
  <c r="R14" i="1"/>
  <c r="S14" i="1"/>
  <c r="R46" i="1"/>
  <c r="R47" i="1"/>
  <c r="S46" i="1"/>
  <c r="S92" i="1"/>
  <c r="R92" i="1"/>
  <c r="R93" i="1"/>
  <c r="R63" i="1"/>
  <c r="S62" i="1"/>
  <c r="R62" i="1"/>
  <c r="R48" i="1"/>
  <c r="S48" i="1"/>
  <c r="R49" i="1"/>
  <c r="X78" i="1" a="1"/>
  <c r="X78" i="1" s="1"/>
  <c r="S52" i="1"/>
  <c r="R53" i="1"/>
  <c r="R52" i="1"/>
  <c r="X85" i="1" l="1" a="1"/>
  <c r="X85" i="1" s="1"/>
  <c r="X88" i="1" a="1"/>
  <c r="X88" i="1" s="1"/>
  <c r="X92" i="1" a="1"/>
  <c r="X92" i="1" s="1"/>
  <c r="X91" i="1" a="1"/>
  <c r="X91" i="1" s="1"/>
  <c r="X87" i="1" a="1"/>
  <c r="X87" i="1" s="1"/>
  <c r="X86" i="1" a="1"/>
  <c r="X86" i="1" s="1"/>
  <c r="X89" i="1" a="1"/>
  <c r="X89" i="1" s="1"/>
  <c r="X90" i="1" a="1"/>
  <c r="X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tc={C285225A-19B5-48C1-90EA-593669E76C69}</author>
    <author>tc={48A67468-3E77-4136-9C74-3D3864215832}</author>
    <author>tc={5F0B3C91-919E-4B7D-8C07-35442230102C}</author>
    <author>tc={745CE211-12B6-4C9A-B4BA-BB849EB360CD}</author>
    <author>tc={57EF98F1-CE4B-4EF9-A8E4-58EB34BE3BFA}</author>
    <author>tc={096781ED-B807-48D4-8A52-FB727CFD3660}</author>
    <author>tc={81FE05BB-9A46-49CF-AB0B-872ECE996604}</author>
    <author>tc={8CBBA0D6-A35A-4D28-BDE0-E27475AB58EA}</author>
    <author>tc={9418ED83-4425-4CEE-8EDC-375EA46B614C}</author>
    <author>tc={950F8557-5996-4272-8DF7-C040B5FBA5CC}</author>
    <author>tc={2678050A-6F28-4270-87E7-D8F70BD4E130}</author>
    <author>tc={B53AB829-45A6-4E00-ACE7-10A506486B58}</author>
    <author>tc={F719AF0D-B4BF-4272-9537-14BAB1FD02F1}</author>
    <author>tc={D54820FD-2EF6-4C1A-BC44-0CC64C9AEAA1}</author>
    <author>tc={0ADF1989-43B7-4E0A-9472-26A31185DCB0}</author>
    <author>tc={F13A5E04-EB39-46C8-A9C6-4D5A10740A95}</author>
    <author>tc={2E327502-DF03-4E0B-93EF-E0EF03E710CF}</author>
    <author>tc={68F98AD4-8883-4828-89C9-31A39AF1FC54}</author>
  </authors>
  <commentList>
    <comment ref="A1" authorId="0" shapeId="0" xr:uid="{C285225A-19B5-48C1-90EA-593669E76C6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 name can be anything you like</t>
      </text>
    </comment>
    <comment ref="A2" authorId="1" shapeId="0" xr:uid="{48A67468-3E77-4136-9C74-3D38642158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the eds file saved with the experiment.
Give any associated the XLSX and CSV files the same name 
Give any qPCR text file exports the same name</t>
      </text>
    </comment>
    <comment ref="A4" authorId="2" shapeId="0" xr:uid="{5F0B3C91-919E-4B7D-8C07-35442230102C}">
      <text>
        <t>[Threaded comment]
Your version of Excel allows you to read this threaded comment; however, any edits to it will get removed if the file is opened in a newer version of Excel. Learn more: https://go.microsoft.com/fwlink/?linkid=870924
Comment:
    Kit identifier
Use a dummy identifier if not using a traceable kit. 
Add further description if desired (i.e. "I swapped the salts" or an alternative materials list. This is flexible)</t>
      </text>
    </comment>
    <comment ref="W4" authorId="3" shapeId="0" xr:uid="{745CE211-12B6-4C9A-B4BA-BB849EB360CD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sample_ids should be arranged here. 
sample_ids should be TEXT: i.e. NOT numbers, n/a, None or left empty
They will autofill the sample table.</t>
      </text>
    </comment>
    <comment ref="AK4" authorId="4" shapeId="0" xr:uid="{57EF98F1-CE4B-4EF9-A8E4-58EB34BE3BFA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writing section</t>
      </text>
    </comment>
    <comment ref="C5" authorId="5" shapeId="0" xr:uid="{096781ED-B807-48D4-8A52-FB727CFD3660}">
      <text>
        <t>[Threaded comment]
Your version of Excel allows you to read this threaded comment; however, any edits to it will get removed if the file is opened in a newer version of Excel. Learn more: https://go.microsoft.com/fwlink/?linkid=870924
Comment:
    eds_id, target, ct, tm
all values to paste from qPCR software (yellow field)</t>
      </text>
    </comment>
    <comment ref="G5" authorId="6" shapeId="0" xr:uid="{81FE05BB-9A46-49CF-AB0B-872ECE9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threshold (ct cutoff)
value selected by user for ct calculation</t>
      </text>
    </comment>
    <comment ref="H5" authorId="7" shapeId="0" xr:uid="{8CBBA0D6-A35A-4D28-BDE0-E27475AB5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sample_id is populated from plate_plan.
ProxiPal will cross reference Sample and tube ids with sample submission forms, if available and spelled identically.
Standards have a nomenclature
std#[conc]_source
i.e.
std1[8000]_progen#62008* 
Indicates a sample from standard curve 1, 8000ng/L, progen cat., and not recorded in a sample submission form
</t>
      </text>
    </comment>
    <comment ref="I5" authorId="8" shapeId="0" xr:uid="{9418ED83-4425-4CEE-8EDC-375EA46B614C}">
      <text>
        <t>[Threaded comment]
Your version of Excel allows you to read this threaded comment; however, any edits to it will get removed if the file is opened in a newer version of Excel. Learn more: https://go.microsoft.com/fwlink/?linkid=870924
Comment:
    tube_id (aliquot identifier)
used to evaluate freeze/thaw events
* include if different from sample_id (i.e. if aliquots were made from one sample)
* if field is left empty, 1 tube = 1 sample will be assumed
* for standards include the working vial identifier. If standards are from a kit, can be left blank</t>
      </text>
    </comment>
    <comment ref="J5" authorId="9" shapeId="0" xr:uid="{950F8557-5996-4272-8DF7-C040B5FBA5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rep_id (replicate id)
should be a unique number for each group
In each group the ct delta between every pairwise combination is calculated. Where ct delta &gt; 0.3785 the group is flagged red to indicate replicate variability that exceeds a 30% concentration difference between at least two replicates. The same red flag is used in the ct map opposite.</t>
      </text>
    </comment>
    <comment ref="K5" authorId="10" shapeId="0" xr:uid="{2678050A-6F28-4270-87E7-D8F70BD4E130}">
      <text>
        <t>[Threaded comment]
Your version of Excel allows you to read this threaded comment; however, any edits to it will get removed if the file is opened in a newer version of Excel. Learn more: https://go.microsoft.com/fwlink/?linkid=870924
Comment:
    dilution
value is extracted from dilution:variables map</t>
      </text>
    </comment>
    <comment ref="L5" authorId="11" shapeId="0" xr:uid="{B53AB829-45A6-4E00-ACE7-10A50648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var_1, var_2, var_3, var_4
indicates experimental variables being tested. Describe var beneath the dilution variables map or in methods section.
flag 1 = yes
flag 0 = no</t>
      </text>
    </comment>
    <comment ref="P5" authorId="12" shapeId="0" xr:uid="{F719AF0D-B4BF-4272-9537-14BAB1FD02F1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usr_std (user standard)
defines which standards to use
the sample_id for standards must follow the nomenclature:, i.e.
std1[8000]_progen#62008
* "std1", could also be std2,3,4 if four standards are on a single plate
* [conc], concentration in square brackets as ng/L
* _material, supplier#cat
NB: prefix "usr" indicates that a calculation has been performed in excel. When automatic report generation is performed prefix "auto" will apply. Disagreements between excel values and python calculations will be flagged.</t>
      </text>
    </comment>
    <comment ref="S5" authorId="13" shapeId="0" xr:uid="{D54820FD-2EF6-4C1A-BC44-0CC64C9AEAA1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usr_recovery
a recovery value will be calculated for samples of known concentration. To indicate that a sample or std concentration is known use [conc] notation in the sample_id
NB: prefix "usr" indicates that a calculation has been performed in excel. When automatic report generation is performed prefix "auto" will apply. Disagreements between excel values and python calculations will be flagged.</t>
      </text>
    </comment>
    <comment ref="T5" authorId="14" shapeId="0" xr:uid="{0ADF1989-43B7-4E0A-9472-26A31185DCB0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usr_ignore
ignoring a value will exclude it from calculations
flag 1 = ignore
flag 0 = keep</t>
      </text>
    </comment>
    <comment ref="W15" authorId="15" shapeId="0" xr:uid="{F13A5E04-EB39-46C8-A9C6-4D5A10740A9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notation, separated by semi-colon, to define plate variables
d10 = 10x dilution
v1 = var_1 (variable 1)
define variables in methods or below plate plan</t>
      </text>
    </comment>
    <comment ref="W30" authorId="16" shapeId="0" xr:uid="{2E327502-DF03-4E0B-93EF-E0EF03E71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Plate map of ct valuesfrom column E
Colour formatting is from column J</t>
      </text>
    </comment>
    <comment ref="W42" authorId="17" shapeId="0" xr:uid="{68F98AD4-8883-4828-89C9-31A39AF1FC54}">
      <text>
        <t>[Threaded comment]
Your version of Excel allows you to read this threaded comment; however, any edits to it will get removed if the file is opened in a newer version of Excel. Learn more: https://go.microsoft.com/fwlink/?linkid=870924
Comment:
    In excel we'll manually create our own standard curve to suit development work
In python reports this will be automated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<sst xmlns="http://schemas.openxmlformats.org/spreadsheetml/2006/main" count="817" uniqueCount="226">
  <si>
    <t>Experiment</t>
  </si>
  <si>
    <t>Raw_File</t>
  </si>
  <si>
    <t>Kit_#</t>
  </si>
  <si>
    <t>plate_plan</t>
  </si>
  <si>
    <t>experiment_plan</t>
  </si>
  <si>
    <t>well</t>
  </si>
  <si>
    <t>position</t>
  </si>
  <si>
    <t>eds_id</t>
  </si>
  <si>
    <t>target</t>
  </si>
  <si>
    <t>ct</t>
  </si>
  <si>
    <t>tm</t>
  </si>
  <si>
    <t>threshold</t>
  </si>
  <si>
    <t>sample_id</t>
  </si>
  <si>
    <t>tube_id</t>
  </si>
  <si>
    <t>rep_id</t>
  </si>
  <si>
    <t>dilution</t>
  </si>
  <si>
    <t>var_1</t>
  </si>
  <si>
    <t>var_2</t>
  </si>
  <si>
    <t>var_3</t>
  </si>
  <si>
    <t>var_4</t>
  </si>
  <si>
    <t>Labels</t>
  </si>
  <si>
    <t>A1</t>
  </si>
  <si>
    <t>A</t>
  </si>
  <si>
    <t>A2</t>
  </si>
  <si>
    <t>B</t>
  </si>
  <si>
    <t>A3</t>
  </si>
  <si>
    <t>C</t>
  </si>
  <si>
    <t>A4</t>
  </si>
  <si>
    <t>D</t>
  </si>
  <si>
    <t>A5</t>
  </si>
  <si>
    <t>E</t>
  </si>
  <si>
    <t>A6</t>
  </si>
  <si>
    <t>F</t>
  </si>
  <si>
    <t>A7</t>
  </si>
  <si>
    <t>G</t>
  </si>
  <si>
    <t>A8</t>
  </si>
  <si>
    <t>H</t>
  </si>
  <si>
    <t>A9</t>
  </si>
  <si>
    <t>A10</t>
  </si>
  <si>
    <t>dilution (d);variables (v) map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</si>
  <si>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</si>
  <si>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</si>
  <si>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</si>
  <si>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</si>
  <si>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</si>
  <si>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</si>
  <si>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</si>
  <si>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</si>
  <si>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</si>
  <si>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</si>
  <si>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</si>
  <si>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</si>
  <si>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</si>
  <si>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</si>
  <si>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</si>
  <si>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ct_map</t>
  </si>
  <si>
    <t>C2</t>
  </si>
  <si>
    <t>Ct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</si>
  <si>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</si>
  <si>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</si>
  <si>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</si>
  <si>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</si>
  <si>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</si>
  <si>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</si>
  <si>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</si>
  <si>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</si>
  <si>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</si>
  <si>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</si>
  <si>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</si>
  <si>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manual_standard_curve</t>
  </si>
  <si>
    <t>D2</t>
  </si>
  <si>
    <t>defined</t>
  </si>
  <si>
    <t>std1</t>
  </si>
  <si>
    <t>std2</t>
  </si>
  <si>
    <t>std3</t>
  </si>
  <si>
    <t>std4</t>
  </si>
  <si>
    <t>D3</t>
  </si>
  <si>
    <t>log10</t>
  </si>
  <si>
    <t>avg Ct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</si>
  <si>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</si>
  <si>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</si>
  <si>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</si>
  <si>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</si>
  <si>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</si>
  <si>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</si>
  <si>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</si>
  <si>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</si>
  <si>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</si>
  <si>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gradient</t>
  </si>
  <si>
    <t>E1</t>
  </si>
  <si>
    <t>y-intercept</t>
  </si>
  <si>
    <t>E2</t>
  </si>
  <si>
    <t>R-Sq</t>
  </si>
  <si>
    <t>E3</t>
  </si>
  <si>
    <t>PCR_efficiency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</si>
  <si>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</si>
  <si>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</si>
  <si>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</si>
  <si>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</si>
  <si>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</si>
  <si>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</si>
  <si>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</si>
  <si>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</si>
  <si>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</si>
  <si>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</si>
  <si>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</si>
  <si>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</si>
  <si>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</si>
  <si>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</si>
  <si>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</si>
  <si>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</si>
  <si>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</si>
  <si>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</si>
  <si>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</si>
  <si>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</si>
  <si>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</si>
  <si>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</si>
  <si>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</si>
  <si>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</si>
  <si>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</si>
  <si>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</si>
  <si>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</si>
  <si>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</si>
  <si>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</si>
  <si>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</si>
  <si>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</si>
  <si>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</si>
  <si>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</si>
  <si>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</si>
  <si>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</si>
  <si>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</si>
  <si>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</si>
  <si>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</si>
  <si>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</si>
  <si>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</si>
  <si>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</si>
  <si>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</si>
  <si>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</si>
  <si>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</si>
  <si>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</si>
  <si>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Operator(s)</t>
  </si>
  <si>
    <t>ng/L</t>
  </si>
  <si>
    <t>var_1 (desc)</t>
  </si>
  <si>
    <t>var_2 (desc)</t>
  </si>
  <si>
    <t>var_3 (desc)</t>
  </si>
  <si>
    <t>var_4 (desc)</t>
  </si>
  <si>
    <t>std5</t>
  </si>
  <si>
    <t>std6</t>
  </si>
  <si>
    <t>model</t>
  </si>
  <si>
    <t>concentration_map (averages)</t>
  </si>
  <si>
    <t>concentration_map (raw)</t>
  </si>
  <si>
    <t>ct_map (averages)</t>
  </si>
  <si>
    <t>std1[2000]_progen#62008</t>
  </si>
  <si>
    <t>std1[400]_progen#62008</t>
  </si>
  <si>
    <t>std1[80]_progen#62008</t>
  </si>
  <si>
    <t>std1[16]_progen#62008</t>
  </si>
  <si>
    <t>std1[3.2]_progen#62008</t>
  </si>
  <si>
    <t>std1[0.64]_progen#62008</t>
  </si>
  <si>
    <t>std1[0.128]_progen#62008</t>
  </si>
  <si>
    <t>std1[0]_progen#62008</t>
  </si>
  <si>
    <t>d1;v1</t>
  </si>
  <si>
    <t>d10;v1</t>
  </si>
  <si>
    <t>NfL</t>
  </si>
  <si>
    <t>,</t>
  </si>
  <si>
    <t>Undetermined</t>
  </si>
  <si>
    <t>Jeff</t>
  </si>
  <si>
    <t>NFL-159</t>
  </si>
  <si>
    <t>NFL-160</t>
  </si>
  <si>
    <t>NFL-161</t>
  </si>
  <si>
    <t>NFL-162</t>
  </si>
  <si>
    <t>NFL-163</t>
  </si>
  <si>
    <t>NFL-164</t>
  </si>
  <si>
    <t>NFL-165</t>
  </si>
  <si>
    <t>NFL-166</t>
  </si>
  <si>
    <t>NFL-167</t>
  </si>
  <si>
    <t>NFL-168</t>
  </si>
  <si>
    <t>NFL-169</t>
  </si>
  <si>
    <t>NFL-170</t>
  </si>
  <si>
    <t>NFL-171</t>
  </si>
  <si>
    <t>NFL-172</t>
  </si>
  <si>
    <t>NFL-173</t>
  </si>
  <si>
    <t>NFL-174</t>
  </si>
  <si>
    <t>NFL-175</t>
  </si>
  <si>
    <t>NFL-176</t>
  </si>
  <si>
    <t>NFL-177</t>
  </si>
  <si>
    <t>NFL-178</t>
  </si>
  <si>
    <t>NFL-179</t>
  </si>
  <si>
    <t>NFL-180</t>
  </si>
  <si>
    <t>NFL-181</t>
  </si>
  <si>
    <t>NFL-182</t>
  </si>
  <si>
    <t>NFL-183</t>
  </si>
  <si>
    <t>NFL-184</t>
  </si>
  <si>
    <t>NFL-185</t>
  </si>
  <si>
    <t>NFL-186</t>
  </si>
  <si>
    <t>NFL-187</t>
  </si>
  <si>
    <t>NFL-188</t>
  </si>
  <si>
    <t>NFL-189</t>
  </si>
  <si>
    <t>NFL-QC-H</t>
  </si>
  <si>
    <t>NFL-QC-L</t>
  </si>
  <si>
    <t>NFL-QC-M</t>
  </si>
  <si>
    <t>#004</t>
  </si>
  <si>
    <t>Standard conditions and SOP, inc. NfL AOC batch 7 (50ng/ml)</t>
  </si>
  <si>
    <t>Royal Melbourne Hospital, lithium-heparin plasma</t>
  </si>
  <si>
    <t>Samples 159 - 189, 10x dilution</t>
  </si>
  <si>
    <t>Standard SoP</t>
  </si>
  <si>
    <t>Wash buffer stock: 1xWB1 and 1xWB2 (28-11-2024)</t>
  </si>
  <si>
    <t xml:space="preserve">AD8 buffer stock: 19-09-2024 </t>
  </si>
  <si>
    <t>AOC: batch 7, working conc. 50ng/mL</t>
  </si>
  <si>
    <t>Calibrator: ProgNfL RTU FAK21227 lot#2 in AD8</t>
  </si>
  <si>
    <t>Capture plate: lot #9</t>
  </si>
  <si>
    <t>Master mix: Lot #####</t>
  </si>
  <si>
    <t>Kit #004</t>
  </si>
  <si>
    <t>Note 1: Lane 12 still unstable, instrument facility made aware.</t>
  </si>
  <si>
    <t>Note 2: ProxiPal quality module not implemented yet. Therefore kit #004 details as below.</t>
  </si>
  <si>
    <t>default xlsx template password: admin</t>
  </si>
  <si>
    <t>QC</t>
  </si>
  <si>
    <t>sample</t>
  </si>
  <si>
    <t>std</t>
  </si>
  <si>
    <t>unused</t>
  </si>
  <si>
    <t>usr_std</t>
  </si>
  <si>
    <t>usr_raw_ng/L</t>
  </si>
  <si>
    <t>usr_mean_ng/L</t>
  </si>
  <si>
    <t>usr_recovery</t>
  </si>
  <si>
    <t>usr_ignore</t>
  </si>
  <si>
    <t>usr_comments</t>
  </si>
  <si>
    <t>241220_iPLA_NfLplasma_demo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</si>
</sst>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u/>
      <sz val="16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67">
    <xf numFmtId="0" fontId="0" fillId="0" borderId="0" xfId="0"/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3" fillId="3" borderId="0" xfId="0" applyFont="1" applyFill="1" applyProtection="1">
      <protection locked="0"/>
    </xf>
    <xf numFmtId="0" fontId="0" fillId="5" borderId="5" xfId="0" applyFill="1" applyBorder="1" applyAlignment="1" applyProtection="1">
      <alignment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4" fontId="0" fillId="5" borderId="6" xfId="0" applyNumberFormat="1" applyFill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4" fontId="0" fillId="0" borderId="6" xfId="0" applyNumberFormat="1" applyBorder="1" applyAlignment="1" applyProtection="1">
      <alignment horizontal="left" vertical="center"/>
      <protection locked="0"/>
    </xf>
    <xf numFmtId="0" fontId="0" fillId="5" borderId="0" xfId="0" applyFill="1" applyAlignment="1" applyProtection="1">
      <alignment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4" fontId="0" fillId="5" borderId="9" xfId="0" applyNumberForma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left" vertical="center"/>
      <protection locked="0"/>
    </xf>
    <xf numFmtId="0" fontId="0" fillId="5" borderId="7" xfId="0" applyFill="1" applyBorder="1" applyAlignment="1" applyProtection="1">
      <alignment vertical="center"/>
      <protection locked="0"/>
    </xf>
    <xf numFmtId="0" fontId="0" fillId="5" borderId="7" xfId="0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4" fontId="0" fillId="5" borderId="11" xfId="0" applyNumberFormat="1" applyFill="1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64" fontId="0" fillId="0" borderId="11" xfId="0" applyNumberFormat="1" applyBorder="1" applyAlignment="1" applyProtection="1">
      <alignment horizontal="left" vertical="center"/>
      <protection locked="0"/>
    </xf>
    <xf numFmtId="0" fontId="0" fillId="3" borderId="7" xfId="0" applyFill="1" applyBorder="1" applyProtection="1">
      <protection locked="0"/>
    </xf>
    <xf numFmtId="49" fontId="0" fillId="3" borderId="0" xfId="0" applyNumberFormat="1" applyFill="1" applyProtection="1"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6" fillId="3" borderId="0" xfId="0" applyFont="1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0" fontId="5" fillId="3" borderId="0" xfId="0" applyFont="1" applyFill="1" applyProtection="1">
      <protection locked="0"/>
    </xf>
    <xf numFmtId="0" fontId="0" fillId="3" borderId="8" xfId="0" applyFill="1" applyBorder="1" applyAlignment="1" applyProtection="1">
      <alignment horizontal="center"/>
      <protection locked="0"/>
    </xf>
    <xf numFmtId="1" fontId="0" fillId="3" borderId="8" xfId="0" applyNumberForma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 wrapText="1"/>
    </xf>
    <xf numFmtId="164" fontId="0" fillId="2" borderId="5" xfId="0" applyNumberFormat="1" applyFill="1" applyBorder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3" fillId="3" borderId="0" xfId="0" applyFont="1" applyFill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3" borderId="0" xfId="0" applyFont="1" applyFill="1" applyAlignment="1" applyProtection="1">
      <alignment horizontal="left"/>
      <protection locked="0"/>
    </xf>
    <xf numFmtId="0" fontId="0" fillId="2" borderId="0" xfId="0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164" fontId="0" fillId="0" borderId="14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0" fillId="2" borderId="6" xfId="0" applyFill="1" applyBorder="1" applyAlignment="1">
      <alignment horizontal="right"/>
    </xf>
    <xf numFmtId="165" fontId="0" fillId="2" borderId="6" xfId="1" applyNumberFormat="1" applyFont="1" applyFill="1" applyBorder="1" applyAlignment="1" applyProtection="1">
      <alignment horizontal="center"/>
    </xf>
    <xf numFmtId="165" fontId="0" fillId="2" borderId="5" xfId="1" applyNumberFormat="1" applyFont="1" applyFill="1" applyBorder="1" applyAlignment="1" applyProtection="1">
      <alignment horizontal="center"/>
    </xf>
    <xf numFmtId="165" fontId="0" fillId="2" borderId="12" xfId="1" applyNumberFormat="1" applyFont="1" applyFill="1" applyBorder="1" applyAlignment="1" applyProtection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right"/>
    </xf>
    <xf numFmtId="165" fontId="0" fillId="2" borderId="9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2" borderId="11" xfId="0" applyNumberFormat="1" applyFill="1" applyBorder="1" applyAlignment="1">
      <alignment horizontal="right"/>
    </xf>
    <xf numFmtId="165" fontId="5" fillId="2" borderId="11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13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right"/>
    </xf>
    <xf numFmtId="0" fontId="0" fillId="2" borderId="13" xfId="0" applyFill="1" applyBorder="1" applyAlignment="1">
      <alignment horizontal="center"/>
    </xf>
    <xf numFmtId="2" fontId="0" fillId="2" borderId="13" xfId="1" applyNumberFormat="1" applyFont="1" applyFill="1" applyBorder="1" applyAlignment="1" applyProtection="1">
      <alignment horizontal="center"/>
    </xf>
    <xf numFmtId="0" fontId="5" fillId="2" borderId="0" xfId="0" applyFont="1" applyFill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2" fillId="4" borderId="5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/>
    <xf numFmtId="0" fontId="0" fillId="2" borderId="10" xfId="0" applyFill="1" applyBorder="1"/>
    <xf numFmtId="0" fontId="0" fillId="2" borderId="0" xfId="0" applyFill="1"/>
    <xf numFmtId="0" fontId="0" fillId="2" borderId="7" xfId="0" applyFill="1" applyBorder="1"/>
    <xf numFmtId="0" fontId="0" fillId="3" borderId="0" xfId="0" applyFill="1"/>
    <xf numFmtId="0" fontId="0" fillId="3" borderId="9" xfId="0" applyFill="1" applyBorder="1"/>
    <xf numFmtId="0" fontId="0" fillId="3" borderId="7" xfId="0" applyFill="1" applyBorder="1"/>
    <xf numFmtId="0" fontId="0" fillId="3" borderId="11" xfId="0" applyFill="1" applyBorder="1"/>
    <xf numFmtId="0" fontId="5" fillId="3" borderId="0" xfId="0" applyFont="1" applyFill="1" applyAlignment="1" applyProtection="1">
      <alignment horizontal="center"/>
      <protection locked="0"/>
    </xf>
    <xf numFmtId="0" fontId="3" fillId="3" borderId="8" xfId="0" applyFont="1" applyFill="1" applyBorder="1"/>
    <xf numFmtId="164" fontId="4" fillId="3" borderId="0" xfId="0" applyNumberFormat="1" applyFont="1" applyFill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0" fontId="2" fillId="4" borderId="7" xfId="0" applyFont="1" applyFill="1" applyBorder="1"/>
    <xf numFmtId="0" fontId="2" fillId="4" borderId="7" xfId="0" applyFont="1" applyFill="1" applyBorder="1" applyAlignment="1">
      <alignment horizontal="left"/>
    </xf>
    <xf numFmtId="49" fontId="5" fillId="0" borderId="7" xfId="2" applyNumberFormat="1" applyFon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10" fillId="0" borderId="9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5" fillId="0" borderId="7" xfId="0" applyFont="1" applyBorder="1" applyAlignment="1" applyProtection="1">
      <alignment horizontal="center"/>
      <protection locked="0"/>
    </xf>
    <xf numFmtId="49" fontId="10" fillId="0" borderId="7" xfId="0" applyNumberFormat="1" applyFont="1" applyBorder="1" applyProtection="1">
      <protection locked="0"/>
    </xf>
    <xf numFmtId="49" fontId="5" fillId="0" borderId="7" xfId="0" applyNumberFormat="1" applyFont="1" applyBorder="1" applyAlignment="1" applyProtection="1">
      <alignment horizontal="center"/>
      <protection locked="0"/>
    </xf>
    <xf numFmtId="0" fontId="10" fillId="0" borderId="11" xfId="0" applyFont="1" applyBorder="1" applyAlignment="1">
      <alignment horizontal="center"/>
    </xf>
    <xf numFmtId="0" fontId="11" fillId="3" borderId="0" xfId="0" applyFont="1" applyFill="1" applyAlignment="1" applyProtection="1">
      <alignment horizontal="left"/>
      <protection locked="0"/>
    </xf>
    <xf numFmtId="0" fontId="11" fillId="3" borderId="0" xfId="0" applyFont="1" applyFill="1" applyAlignment="1" applyProtection="1">
      <alignment horizontal="center"/>
      <protection locked="0"/>
    </xf>
    <xf numFmtId="0" fontId="12" fillId="3" borderId="8" xfId="0" applyFont="1" applyFill="1" applyBorder="1" applyAlignment="1">
      <alignment vertical="center"/>
    </xf>
    <xf numFmtId="0" fontId="13" fillId="3" borderId="0" xfId="0" applyFont="1" applyFill="1" applyAlignment="1" applyProtection="1">
      <alignment vertical="center"/>
      <protection locked="0"/>
    </xf>
    <xf numFmtId="0" fontId="5" fillId="3" borderId="8" xfId="0" applyFont="1" applyFill="1" applyBorder="1" applyProtection="1">
      <protection locked="0"/>
    </xf>
    <xf numFmtId="49" fontId="5" fillId="3" borderId="8" xfId="0" applyNumberFormat="1" applyFont="1" applyFill="1" applyBorder="1" applyProtection="1">
      <protection locked="0"/>
    </xf>
    <xf numFmtId="49" fontId="5" fillId="3" borderId="0" xfId="0" applyNumberFormat="1" applyFont="1" applyFill="1" applyProtection="1">
      <protection locked="0"/>
    </xf>
    <xf numFmtId="0" fontId="14" fillId="3" borderId="0" xfId="0" applyFont="1" applyFill="1" applyProtection="1">
      <protection locked="0"/>
    </xf>
    <xf numFmtId="0" fontId="15" fillId="3" borderId="8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49" fontId="10" fillId="0" borderId="0" xfId="0" applyNumberFormat="1" applyFont="1" applyProtection="1"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49" fontId="5" fillId="0" borderId="0" xfId="2" applyNumberFormat="1" applyFont="1" applyAlignment="1" applyProtection="1">
      <alignment horizontal="center"/>
      <protection locked="0"/>
    </xf>
    <xf numFmtId="0" fontId="5" fillId="0" borderId="0" xfId="0" applyFont="1"/>
    <xf numFmtId="0" fontId="10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4" fillId="3" borderId="0" xfId="0" applyFont="1" applyFill="1" applyProtection="1">
      <protection locked="0"/>
    </xf>
  </cellXfs>
  <cellStyles count="3">
    <cellStyle name="Normal" xfId="0" builtinId="0"/>
    <cellStyle name="Normal 2" xfId="2" xr:uid="{2A611197-FBC9-CE4F-A83B-A056C6DF78A3}"/>
    <cellStyle name="Percent" xfId="1" builtinId="5"/>
  </cellStyles>
  <dxfs count="106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theme="2" tint="-9.9948118533890809E-2"/>
      </font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7C80"/>
      <color rgb="FFFFDBE5"/>
      <color rgb="FFE9E2F4"/>
      <color rgb="FFFA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481725658978111E-2"/>
          <c:y val="5.0925925925925923E-2"/>
          <c:w val="0.7806774448694338"/>
          <c:h val="0.732032978377233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'e104'!$AE$43</c:f>
              <c:strCache>
                <c:ptCount val="1"/>
                <c:pt idx="0">
                  <c:v>model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'e104'!$AE$45:$AE$51</c:f>
              <c:numCache>
                <c:formatCode>0</c:formatCode>
                <c:ptCount val="7"/>
                <c:pt idx="0">
                  <c:v>29.033978354404255</c:v>
                </c:pt>
                <c:pt idx="1">
                  <c:v>31.355956708808506</c:v>
                </c:pt>
                <c:pt idx="2">
                  <c:v>33.677935063212765</c:v>
                </c:pt>
                <c:pt idx="3">
                  <c:v>35.999913417617016</c:v>
                </c:pt>
                <c:pt idx="4">
                  <c:v>38.321891772021274</c:v>
                </c:pt>
                <c:pt idx="5">
                  <c:v>40.643870126425526</c:v>
                </c:pt>
                <c:pt idx="6">
                  <c:v>42.965848480829784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AF-4E56-9340-765D92119FCA}"/>
            </c:ext>
          </c:extLst>
        </c:ser>
        <c:ser>
          <c:idx val="1"/>
          <c:order val="1"/>
          <c:tx>
            <c:strRef>
              <c:f>'e104'!$Y$43</c:f>
              <c:strCache>
                <c:ptCount val="1"/>
                <c:pt idx="0">
                  <c:v>std1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22225">
                <a:solidFill>
                  <a:srgbClr val="FF0000">
                    <a:alpha val="5000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>
                    <a:alpha val="50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'e104'!$Y$45:$Y$51</c:f>
              <c:numCache>
                <c:formatCode>0.0</c:formatCode>
                <c:ptCount val="7"/>
                <c:pt idx="0">
                  <c:v>13.526499999999999</c:v>
                </c:pt>
                <c:pt idx="1">
                  <c:v>15.774000000000001</c:v>
                </c:pt>
                <c:pt idx="2">
                  <c:v>18.174500000000002</c:v>
                </c:pt>
                <c:pt idx="3">
                  <c:v>20.526499999999999</c:v>
                </c:pt>
                <c:pt idx="4">
                  <c:v>22.790500000000002</c:v>
                </c:pt>
                <c:pt idx="5">
                  <c:v>25.2745</c:v>
                </c:pt>
                <c:pt idx="6">
                  <c:v>27.561999999999998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AF-4E56-9340-765D92119FCA}"/>
            </c:ext>
          </c:extLst>
        </c:ser>
        <c:ser>
          <c:idx val="2"/>
          <c:order val="2"/>
          <c:tx>
            <c:strRef>
              <c:f>'e104'!$Z$43</c:f>
              <c:strCache>
                <c:ptCount val="1"/>
                <c:pt idx="0">
                  <c:v>std2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noFill/>
              <a:ln w="22225">
                <a:solidFill>
                  <a:schemeClr val="tx1">
                    <a:alpha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>
                    <a:alpha val="5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'e104'!$Z$45:$Z$51</c:f>
              <c:numCache>
                <c:formatCode>0.0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AF-4E56-9340-765D92119FCA}"/>
            </c:ext>
          </c:extLst>
        </c:ser>
        <c:ser>
          <c:idx val="3"/>
          <c:order val="3"/>
          <c:tx>
            <c:strRef>
              <c:f>'e104'!$AA$43</c:f>
              <c:strCache>
                <c:ptCount val="1"/>
                <c:pt idx="0">
                  <c:v>std3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22225">
                <a:solidFill>
                  <a:srgbClr val="00B050">
                    <a:alpha val="5000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>
                    <a:alpha val="50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'e104'!$AA$45:$AA$51</c:f>
              <c:numCache>
                <c:formatCode>0.0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AF-4E56-9340-765D9211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549544"/>
        <c:axId val="1070545584"/>
      </c:scatterChart>
      <c:valAx>
        <c:axId val="1070549544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800"/>
                  <a:t>Log10(pg/ml)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45584"/>
        <c:crosses val="autoZero"/>
        <c:crossBetween val="midCat"/>
      </c:valAx>
      <c:valAx>
        <c:axId val="1070545584"/>
        <c:scaling>
          <c:orientation val="minMax"/>
          <c:max val="40"/>
          <c:min val="14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800"/>
                  <a:t>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49544"/>
        <c:crosses val="autoZero"/>
        <c:crossBetween val="midCat"/>
        <c:majorUnit val="2"/>
        <c:minorUnit val="1"/>
      </c:valAx>
      <c:spPr>
        <a:solidFill>
          <a:srgbClr val="E9E2F4"/>
        </a:solidFill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7969947742047194"/>
          <c:y val="5.2371448406639771E-2"/>
          <c:w val="0.11006277612588894"/>
          <c:h val="0.51731298833234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481725658978111E-2"/>
          <c:y val="5.0925925925925923E-2"/>
          <c:w val="0.7806774448694338"/>
          <c:h val="0.732032978377233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'e104'!$AE$43</c:f>
              <c:strCache>
                <c:ptCount val="1"/>
                <c:pt idx="0">
                  <c:v>model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'e104'!$AE$45:$AE$51</c:f>
              <c:numCache>
                <c:formatCode>0</c:formatCode>
                <c:ptCount val="7"/>
                <c:pt idx="0">
                  <c:v>29.033978354404255</c:v>
                </c:pt>
                <c:pt idx="1">
                  <c:v>31.355956708808506</c:v>
                </c:pt>
                <c:pt idx="2">
                  <c:v>33.677935063212765</c:v>
                </c:pt>
                <c:pt idx="3">
                  <c:v>35.999913417617016</c:v>
                </c:pt>
                <c:pt idx="4">
                  <c:v>38.321891772021274</c:v>
                </c:pt>
                <c:pt idx="5">
                  <c:v>40.643870126425526</c:v>
                </c:pt>
                <c:pt idx="6">
                  <c:v>42.965848480829784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9-4AA9-AC84-62967029172C}"/>
            </c:ext>
          </c:extLst>
        </c:ser>
        <c:ser>
          <c:idx val="1"/>
          <c:order val="1"/>
          <c:tx>
            <c:strRef>
              <c:f>'e104'!$AB$43</c:f>
              <c:strCache>
                <c:ptCount val="1"/>
                <c:pt idx="0">
                  <c:v>std4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22225">
                <a:solidFill>
                  <a:srgbClr val="FF0000">
                    <a:alpha val="5000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>
                    <a:alpha val="50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'e104'!$AB$45:$AB$51</c:f>
              <c:numCache>
                <c:formatCode>0.0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29-4AA9-AC84-62967029172C}"/>
            </c:ext>
          </c:extLst>
        </c:ser>
        <c:ser>
          <c:idx val="2"/>
          <c:order val="2"/>
          <c:tx>
            <c:strRef>
              <c:f>'e104'!$AC$43</c:f>
              <c:strCache>
                <c:ptCount val="1"/>
                <c:pt idx="0">
                  <c:v>std5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noFill/>
              <a:ln w="22225">
                <a:solidFill>
                  <a:schemeClr val="tx1">
                    <a:alpha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>
                    <a:alpha val="5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'e104'!$AC$45:$AC$51</c:f>
              <c:numCache>
                <c:formatCode>0.0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29-4AA9-AC84-62967029172C}"/>
            </c:ext>
          </c:extLst>
        </c:ser>
        <c:ser>
          <c:idx val="3"/>
          <c:order val="3"/>
          <c:tx>
            <c:strRef>
              <c:f>'e104'!$AD$43</c:f>
              <c:strCache>
                <c:ptCount val="1"/>
                <c:pt idx="0">
                  <c:v>std6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22225">
                <a:solidFill>
                  <a:srgbClr val="00B050">
                    <a:alpha val="5000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>
                    <a:alpha val="50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'e104'!$X$45:$X$51</c:f>
              <c:numCache>
                <c:formatCode>0.00</c:formatCode>
                <c:ptCount val="7"/>
                <c:pt idx="0">
                  <c:v>3.3010299956639813</c:v>
                </c:pt>
                <c:pt idx="1">
                  <c:v>2.6020599913279625</c:v>
                </c:pt>
                <c:pt idx="2">
                  <c:v>1.9030899869919435</c:v>
                </c:pt>
                <c:pt idx="3">
                  <c:v>1.2041199826559248</c:v>
                </c:pt>
                <c:pt idx="4">
                  <c:v>0.50514997831990605</c:v>
                </c:pt>
                <c:pt idx="5">
                  <c:v>-0.19382002601611281</c:v>
                </c:pt>
                <c:pt idx="6">
                  <c:v>-0.89279003035213167</c:v>
                </c:pt>
              </c:numCache>
            </c:numRef>
          </c:xVal>
          <c:yVal>
            <c:numRef>
              <c:f>'e104'!$AD$45:$AD$51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629-4AA9-AC84-629670291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549544"/>
        <c:axId val="1070545584"/>
      </c:scatterChart>
      <c:valAx>
        <c:axId val="1070549544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800"/>
                  <a:t>Log10(pg/ml)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45584"/>
        <c:crosses val="autoZero"/>
        <c:crossBetween val="midCat"/>
      </c:valAx>
      <c:valAx>
        <c:axId val="1070545584"/>
        <c:scaling>
          <c:orientation val="minMax"/>
          <c:max val="40"/>
          <c:min val="14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800"/>
                  <a:t>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49544"/>
        <c:crosses val="autoZero"/>
        <c:crossBetween val="midCat"/>
        <c:majorUnit val="2"/>
        <c:minorUnit val="1"/>
      </c:valAx>
      <c:spPr>
        <a:solidFill>
          <a:srgbClr val="E9E2F4"/>
        </a:solidFill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7969947742047194"/>
          <c:y val="5.2371448406639771E-2"/>
          <c:w val="0.11062906297712928"/>
          <c:h val="0.53179938487936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178594</xdr:colOff>
      <xdr:row>41</xdr:row>
      <xdr:rowOff>3574</xdr:rowOff>
    </xdr:from>
    <xdr:to>
      <xdr:col>38</xdr:col>
      <xdr:colOff>107156</xdr:colOff>
      <xdr:row>48</xdr:row>
      <xdr:rowOff>166691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EA7ED2-98F4-762A-06D6-64C9484AB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178594</xdr:colOff>
      <xdr:row>49</xdr:row>
      <xdr:rowOff>3</xdr:rowOff>
    </xdr:from>
    <xdr:to>
      <xdr:col>38</xdr:col>
      <xdr:colOff>107156</xdr:colOff>
      <xdr:row>56</xdr:row>
      <xdr:rowOff>163120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676584-917F-4997-AA22-B8BF3DF71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ff Smith" id="{D5BACA86-35F9-4FE5-8317-E42FE715FDEB}" userId="S::smith.j@wehi.edu.au::652ced54-4117-4b63-982d-3f49fc8fccf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4-15T10:45:18.62" personId="{D5BACA86-35F9-4FE5-8317-E42FE715FDEB}" id="{C285225A-19B5-48C1-90EA-593669E76C69}">
    <text>Experiment name can be anything you like</text>
  </threadedComment>
  <threadedComment ref="A2" dT="2023-04-15T10:44:45.23" personId="{D5BACA86-35F9-4FE5-8317-E42FE715FDEB}" id="{48A67468-3E77-4136-9C74-3D3864215832}">
    <text>Name of the eds file saved with the experiment.
Give any associated the XLSX and CSV files the same name 
Give any qPCR text file exports the same name</text>
  </threadedComment>
  <threadedComment ref="A4" dT="2023-04-15T10:43:00.35" personId="{D5BACA86-35F9-4FE5-8317-E42FE715FDEB}" id="{5F0B3C91-919E-4B7D-8C07-35442230102C}">
    <text>Kit identifier
Use a dummy identifier if not using a traceable kit. 
Add further description if desired (i.e. "I swapped the salts" or an alternative materials list. This is flexible)</text>
  </threadedComment>
  <threadedComment ref="W4" dT="2023-04-15T10:37:51.69" personId="{D5BACA86-35F9-4FE5-8317-E42FE715FDEB}" id="{745CE211-12B6-4C9A-B4BA-BB849EB360CD}">
    <text>sample_ids should be arranged here. 
sample_ids should be TEXT: i.e. NOT numbers, n/a, None or left empty
They will autofill the sample table.</text>
  </threadedComment>
  <threadedComment ref="AK4" dT="2023-04-15T10:45:39.99" personId="{D5BACA86-35F9-4FE5-8317-E42FE715FDEB}" id="{57EF98F1-CE4B-4EF9-A8E4-58EB34BE3BFA}">
    <text>Free writing section</text>
  </threadedComment>
  <threadedComment ref="C5" dT="2023-04-15T09:48:21.54" personId="{D5BACA86-35F9-4FE5-8317-E42FE715FDEB}" id="{096781ED-B807-48D4-8A52-FB727CFD3660}">
    <text>eds_id, target, ct, tm
all values to paste from qPCR software (yellow field)</text>
  </threadedComment>
  <threadedComment ref="G5" dT="2023-04-15T09:48:53.05" personId="{D5BACA86-35F9-4FE5-8317-E42FE715FDEB}" id="{81FE05BB-9A46-49CF-AB0B-872ECE996604}">
    <text>threshold (ct cutoff)
value selected by user for ct calculation</text>
  </threadedComment>
  <threadedComment ref="H5" dT="2023-05-04T05:10:36.62" personId="{D5BACA86-35F9-4FE5-8317-E42FE715FDEB}" id="{8CBBA0D6-A35A-4D28-BDE0-E27475AB58EA}">
    <text xml:space="preserve">sample_id is populated from plate_plan.
ProxiPal will cross reference Sample and tube ids with sample submission forms, if available and spelled identically.
Standards have a nomenclature
std#[conc]_source
i.e.
std1[8000]_progen#62008* 
Indicates a sample from standard curve 1, 8000ng/L, progen cat., and not recorded in a sample submission form
</text>
  </threadedComment>
  <threadedComment ref="I5" dT="2023-04-15T09:50:45.23" personId="{D5BACA86-35F9-4FE5-8317-E42FE715FDEB}" id="{9418ED83-4425-4CEE-8EDC-375EA46B614C}">
    <text>tube_id (aliquot identifier)
used to evaluate freeze/thaw events
* include if different from sample_id (i.e. if aliquots were made from one sample)
* if field is left empty, 1 tube = 1 sample will be assumed
* for standards include the working vial identifier. If standards are from a kit, can be left blank</text>
  </threadedComment>
  <threadedComment ref="J5" dT="2023-04-15T09:52:35.19" personId="{D5BACA86-35F9-4FE5-8317-E42FE715FDEB}" id="{950F8557-5996-4272-8DF7-C040B5FBA5CC}">
    <text>rep_id (replicate id)
should be a unique number for each group
In each group the ct delta between every pairwise combination is calculated. Where ct delta &gt; 0.3785 the group is flagged red to indicate replicate variability that exceeds a 30% concentration difference between at least two replicates. The same red flag is used in the ct map opposite.</text>
  </threadedComment>
  <threadedComment ref="K5" dT="2023-04-15T10:09:21.97" personId="{D5BACA86-35F9-4FE5-8317-E42FE715FDEB}" id="{2678050A-6F28-4270-87E7-D8F70BD4E130}">
    <text>dilution
value is extracted from dilution:variables map</text>
  </threadedComment>
  <threadedComment ref="L5" dT="2023-04-15T10:13:07.94" personId="{D5BACA86-35F9-4FE5-8317-E42FE715FDEB}" id="{B53AB829-45A6-4E00-ACE7-10A506486B58}">
    <text>var_1, var_2, var_3, var_4
indicates experimental variables being tested. Describe var beneath the dilution variables map or in methods section.
flag 1 = yes
flag 0 = no</text>
  </threadedComment>
  <threadedComment ref="P5" dT="2023-04-15T09:57:04.94" personId="{D5BACA86-35F9-4FE5-8317-E42FE715FDEB}" id="{F719AF0D-B4BF-4272-9537-14BAB1FD02F1}">
    <text>usr_std (user standard)
defines which standards to use
the sample_id for standards must follow the nomenclature:, i.e.
std1[8000]_progen#62008
* "std1", could also be std2,3,4 if four standards are on a single plate
* [conc], concentration in square brackets as ng/L
* _material, supplier#cat
NB: prefix "usr" indicates that a calculation has been performed in excel. When automatic report generation is performed prefix "auto" will apply. Disagreements between excel values and python calculations will be flagged.</text>
  </threadedComment>
  <threadedComment ref="S5" dT="2023-04-15T10:31:19.01" personId="{D5BACA86-35F9-4FE5-8317-E42FE715FDEB}" id="{D54820FD-2EF6-4C1A-BC44-0CC64C9AEAA1}">
    <text>usr_recovery
a recovery value will be calculated for samples of known concentration. To indicate that a sample or std concentration is known use [conc] notation in the sample_id
NB: prefix "usr" indicates that a calculation has been performed in excel. When automatic report generation is performed prefix "auto" will apply. Disagreements between excel values and python calculations will be flagged.</text>
  </threadedComment>
  <threadedComment ref="T5" dT="2023-04-15T10:13:52.76" personId="{D5BACA86-35F9-4FE5-8317-E42FE715FDEB}" id="{0ADF1989-43B7-4E0A-9472-26A31185DCB0}">
    <text>usr_ignore
ignoring a value will exclude it from calculations
flag 1 = ignore
flag 0 = keep</text>
  </threadedComment>
  <threadedComment ref="W15" dT="2023-04-15T10:37:06.12" personId="{D5BACA86-35F9-4FE5-8317-E42FE715FDEB}" id="{F13A5E04-EB39-46C8-A9C6-4D5A10740A95}">
    <text>use notation, separated by semi-colon, to define plate variables
d10 = 10x dilution
v1 = var_1 (variable 1)
define variables in methods or below plate plan</text>
  </threadedComment>
  <threadedComment ref="W30" dT="2023-04-15T10:46:31.39" personId="{D5BACA86-35F9-4FE5-8317-E42FE715FDEB}" id="{2E327502-DF03-4E0B-93EF-E0EF03E710CF}">
    <text>Plate map of ct valuesfrom column E
Colour formatting is from column J</text>
  </threadedComment>
  <threadedComment ref="W42" dT="2023-04-15T10:47:52.13" personId="{D5BACA86-35F9-4FE5-8317-E42FE715FDEB}" id="{68F98AD4-8883-4828-89C9-31A39AF1FC54}">
    <text>In excel we'll manually create our own standard curve to suit development work
In python reports this will be automated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905D-059F-4F24-A799-BDBF6DD32BEB}">
  <sheetPr>
    <pageSetUpPr fitToPage="1"/>
  </sheetPr>
  <dimension ref="A1:AR112"/>
  <sheetViews>
    <sheetView tabSelected="1" zoomScale="70" zoomScaleNormal="70" workbookViewId="0">
      <selection activeCell="E2" sqref="E2"/>
    </sheetView>
  </sheetViews>
  <sheetFormatPr defaultColWidth="9.140625" defaultRowHeight="15" x14ac:dyDescent="0.25"/>
  <cols>
    <col min="1" max="1" width="6" style="3" customWidth="1"/>
    <col min="2" max="2" width="10.42578125" style="2" customWidth="1"/>
    <col min="3" max="3" width="37.85546875" style="3" customWidth="1"/>
    <col min="4" max="6" width="9.140625" style="2"/>
    <col min="7" max="7" width="11.85546875" style="2" customWidth="1"/>
    <col min="8" max="8" width="29.42578125" style="1" customWidth="1"/>
    <col min="9" max="9" width="10.7109375" style="1" customWidth="1"/>
    <col min="10" max="10" width="11.7109375" style="2" customWidth="1"/>
    <col min="11" max="11" width="9.140625" style="2" customWidth="1"/>
    <col min="12" max="15" width="9.140625" style="2"/>
    <col min="16" max="16" width="12.140625" style="2" customWidth="1"/>
    <col min="17" max="17" width="18.5703125" style="2" customWidth="1"/>
    <col min="18" max="18" width="20.85546875" style="2" customWidth="1"/>
    <col min="19" max="19" width="16.85546875" style="2" customWidth="1"/>
    <col min="20" max="20" width="13.5703125" style="2" customWidth="1"/>
    <col min="21" max="21" width="26.140625" style="1" customWidth="1"/>
    <col min="22" max="22" width="3.42578125" style="3" customWidth="1"/>
    <col min="23" max="23" width="9.140625" style="3"/>
    <col min="24" max="24" width="12" style="3" bestFit="1" customWidth="1"/>
    <col min="25" max="35" width="9.140625" style="3"/>
    <col min="36" max="36" width="7.42578125" style="3" customWidth="1"/>
    <col min="37" max="16384" width="9.140625" style="3"/>
  </cols>
  <sheetData>
    <row r="1" spans="1:44" ht="15" customHeight="1" x14ac:dyDescent="0.25">
      <c r="A1" s="37" t="s">
        <v>0</v>
      </c>
      <c r="B1" s="38"/>
      <c r="C1" s="1" t="s">
        <v>225</v>
      </c>
      <c r="V1" s="2"/>
    </row>
    <row r="2" spans="1:44" ht="15" customHeight="1" x14ac:dyDescent="0.25">
      <c r="A2" s="37" t="s">
        <v>1</v>
      </c>
      <c r="B2" s="38"/>
      <c r="C2" s="1" t="s">
        <v>225</v>
      </c>
      <c r="F2" s="1"/>
      <c r="G2" s="1"/>
    </row>
    <row r="3" spans="1:44" ht="15" customHeight="1" x14ac:dyDescent="0.25">
      <c r="A3" s="37" t="s">
        <v>140</v>
      </c>
      <c r="B3" s="38"/>
      <c r="C3" s="147" t="s">
        <v>165</v>
      </c>
      <c r="D3" s="147"/>
      <c r="E3" s="148"/>
      <c r="F3" s="147"/>
      <c r="G3" s="147"/>
      <c r="H3" s="147"/>
    </row>
    <row r="4" spans="1:44" ht="15" customHeight="1" x14ac:dyDescent="0.25">
      <c r="A4" s="37" t="s">
        <v>2</v>
      </c>
      <c r="B4" s="38"/>
      <c r="C4" s="147" t="s">
        <v>200</v>
      </c>
      <c r="D4" s="148"/>
      <c r="E4" s="148"/>
      <c r="F4" s="148"/>
      <c r="G4" s="148"/>
      <c r="H4" s="147"/>
      <c r="W4" s="57" t="s">
        <v>3</v>
      </c>
      <c r="AK4" s="129" t="s">
        <v>4</v>
      </c>
    </row>
    <row r="5" spans="1:44" ht="35.25" customHeight="1" x14ac:dyDescent="0.25">
      <c r="A5" s="39" t="s">
        <v>5</v>
      </c>
      <c r="B5" s="40" t="s">
        <v>6</v>
      </c>
      <c r="C5" s="137" t="s">
        <v>7</v>
      </c>
      <c r="D5" s="107" t="s">
        <v>8</v>
      </c>
      <c r="E5" s="107" t="s">
        <v>9</v>
      </c>
      <c r="F5" s="107" t="s">
        <v>10</v>
      </c>
      <c r="G5" s="107" t="s">
        <v>11</v>
      </c>
      <c r="H5" s="138" t="s">
        <v>12</v>
      </c>
      <c r="I5" s="44" t="s">
        <v>13</v>
      </c>
      <c r="J5" s="40" t="s">
        <v>14</v>
      </c>
      <c r="K5" s="40" t="s">
        <v>15</v>
      </c>
      <c r="L5" s="40" t="s">
        <v>16</v>
      </c>
      <c r="M5" s="40" t="s">
        <v>17</v>
      </c>
      <c r="N5" s="40" t="s">
        <v>18</v>
      </c>
      <c r="O5" s="40" t="s">
        <v>19</v>
      </c>
      <c r="P5" s="45" t="s">
        <v>219</v>
      </c>
      <c r="Q5" s="46" t="s">
        <v>220</v>
      </c>
      <c r="R5" s="45" t="s">
        <v>221</v>
      </c>
      <c r="S5" s="45" t="s">
        <v>222</v>
      </c>
      <c r="T5" s="45" t="s">
        <v>223</v>
      </c>
      <c r="U5" s="47" t="s">
        <v>224</v>
      </c>
      <c r="W5" s="58" t="s">
        <v>20</v>
      </c>
      <c r="X5" s="59">
        <v>1</v>
      </c>
      <c r="Y5" s="59">
        <v>2</v>
      </c>
      <c r="Z5" s="59">
        <v>3</v>
      </c>
      <c r="AA5" s="59">
        <v>4</v>
      </c>
      <c r="AB5" s="59">
        <v>5</v>
      </c>
      <c r="AC5" s="59">
        <v>6</v>
      </c>
      <c r="AD5" s="59">
        <v>7</v>
      </c>
      <c r="AE5" s="59">
        <v>8</v>
      </c>
      <c r="AF5" s="59">
        <v>9</v>
      </c>
      <c r="AG5" s="59">
        <v>10</v>
      </c>
      <c r="AH5" s="59">
        <v>11</v>
      </c>
      <c r="AI5" s="60">
        <v>12</v>
      </c>
      <c r="AK5" s="155" t="s">
        <v>214</v>
      </c>
      <c r="AL5" s="150"/>
      <c r="AM5" s="34"/>
      <c r="AN5" s="34"/>
      <c r="AO5" s="34"/>
      <c r="AP5" s="34"/>
      <c r="AQ5" s="34"/>
      <c r="AR5" s="34"/>
    </row>
    <row r="6" spans="1:44" ht="15.75" x14ac:dyDescent="0.25">
      <c r="A6" s="41">
        <v>1</v>
      </c>
      <c r="B6" s="41" t="s">
        <v>21</v>
      </c>
      <c r="C6" s="5" t="s">
        <v>215</v>
      </c>
      <c r="D6" s="6" t="s">
        <v>162</v>
      </c>
      <c r="E6" s="7">
        <v>21.27</v>
      </c>
      <c r="F6" s="8">
        <v>80.707504</v>
      </c>
      <c r="G6" s="9">
        <v>0.1</v>
      </c>
      <c r="H6" s="48" t="str" cm="1">
        <f t="array" ref="H6:H17">TRANSPOSE(X6:AI6)</f>
        <v>NFL-QC-H</v>
      </c>
      <c r="I6" s="10"/>
      <c r="J6" s="11">
        <v>1</v>
      </c>
      <c r="K6" s="51" t="str" cm="1">
        <f t="array" ref="K6:K17">TRANSPOSE(RIGHT(LEFT(X17:AI17,FIND(";",X17:AI17)-1),LEN(LEFT(X17:AI17,FIND(";",X17:AI17)-1))-1))</f>
        <v>10</v>
      </c>
      <c r="L6" s="51" cm="1">
        <f t="array" ref="L6:L17">TRANSPOSE(IF(ISNUMBER(SEARCH("v1",X17:AI17)),1,0))</f>
        <v>1</v>
      </c>
      <c r="M6" s="51" cm="1">
        <f t="array" ref="M6:M17">TRANSPOSE(IF(ISNUMBER(SEARCH("v2",X17:AI17)),1,0))</f>
        <v>0</v>
      </c>
      <c r="N6" s="51" cm="1">
        <f t="array" ref="N6:N17">TRANSPOSE(IF(ISNUMBER(SEARCH("v3",X17:AI17)),1,0))</f>
        <v>0</v>
      </c>
      <c r="O6" s="51" cm="1">
        <f t="array" ref="O6:O17">TRANSPOSE(IF(ISNUMBER(SEARCH("v4",X17:AI17)),1,0))</f>
        <v>0</v>
      </c>
      <c r="P6" s="11">
        <v>1</v>
      </c>
      <c r="Q6" s="55">
        <f t="shared" ref="Q6:Q69" ca="1" si="0">IF(E6="Undetermined", "", IF(T6=1, "#N/A", IF(P6=1, K6*(10^((E6-$Y$54)/$Y$53)), IF(P6=2, K6*(10^((E6-$Z$54)/$Z$53)), IF(P6=3, K6*(10^((E6-$AA$54)/$AA$53)), IF(P6=4, K6*(10^((E6-$AB$54)/$AB$53)), IF(P6=5, K6*(10^((E6-$AC$54)/$AC$53)), IF(P6=6, K6*(10^((E6-$AD$54)/$AD$53)), "invalid std"))))))))</f>
        <v>95.564278734706093</v>
      </c>
      <c r="R6" s="55">
        <f t="shared" ref="R6:R69" ca="1" si="1">IFERROR(AVERAGEIF(J:J,J6,Q:Q),"")</f>
        <v>79.253637692983787</v>
      </c>
      <c r="S6" s="54" t="str">
        <f t="shared" ref="S6:S37" ca="1" si="2">IFERROR(Q6/MID(H6,FIND("[",H6)+1,FIND("]",H6)-FIND("[",H6)-1),"")</f>
        <v/>
      </c>
      <c r="T6" s="11">
        <v>0</v>
      </c>
      <c r="U6" s="12"/>
      <c r="W6" s="61" t="s">
        <v>22</v>
      </c>
      <c r="X6" s="156" t="s">
        <v>197</v>
      </c>
      <c r="Y6" s="156" t="s">
        <v>197</v>
      </c>
      <c r="Z6" s="157" t="s">
        <v>171</v>
      </c>
      <c r="AA6" s="157" t="s">
        <v>171</v>
      </c>
      <c r="AB6" s="158" t="s">
        <v>152</v>
      </c>
      <c r="AC6" s="158" t="s">
        <v>152</v>
      </c>
      <c r="AD6" s="159" t="s">
        <v>179</v>
      </c>
      <c r="AE6" s="159" t="s">
        <v>179</v>
      </c>
      <c r="AF6" s="160" t="s">
        <v>187</v>
      </c>
      <c r="AG6" s="160" t="s">
        <v>187</v>
      </c>
      <c r="AH6" s="161" t="s">
        <v>195</v>
      </c>
      <c r="AI6" s="141" t="s">
        <v>218</v>
      </c>
      <c r="AK6" s="149" t="s">
        <v>202</v>
      </c>
      <c r="AL6" s="34"/>
      <c r="AM6" s="34"/>
      <c r="AN6" s="34"/>
      <c r="AO6" s="34"/>
      <c r="AP6" s="34"/>
      <c r="AQ6" s="34"/>
      <c r="AR6" s="34"/>
    </row>
    <row r="7" spans="1:44" ht="15.75" x14ac:dyDescent="0.25">
      <c r="A7" s="42">
        <v>2</v>
      </c>
      <c r="B7" s="42" t="s">
        <v>23</v>
      </c>
      <c r="C7" s="13" t="s">
        <v>215</v>
      </c>
      <c r="D7" s="14" t="s">
        <v>162</v>
      </c>
      <c r="E7" s="15">
        <v>21.879000000000001</v>
      </c>
      <c r="F7" s="16">
        <v>80.707504</v>
      </c>
      <c r="G7" s="17">
        <v>0.1</v>
      </c>
      <c r="H7" s="49" t="str">
        <v>NFL-QC-H</v>
      </c>
      <c r="I7" s="18"/>
      <c r="J7" s="19">
        <v>1</v>
      </c>
      <c r="K7" s="52" t="str">
        <v>10</v>
      </c>
      <c r="L7" s="52">
        <v>1</v>
      </c>
      <c r="M7" s="52">
        <v>0</v>
      </c>
      <c r="N7" s="52">
        <v>0</v>
      </c>
      <c r="O7" s="52">
        <v>0</v>
      </c>
      <c r="P7" s="19">
        <v>1</v>
      </c>
      <c r="Q7" s="55">
        <f t="shared" ca="1" si="0"/>
        <v>62.942996651261481</v>
      </c>
      <c r="R7" s="55">
        <f t="shared" ca="1" si="1"/>
        <v>79.253637692983787</v>
      </c>
      <c r="S7" s="55" t="str">
        <f t="shared" ca="1" si="2"/>
        <v/>
      </c>
      <c r="T7" s="19">
        <v>0</v>
      </c>
      <c r="U7" s="20"/>
      <c r="W7" s="61" t="s">
        <v>24</v>
      </c>
      <c r="X7" s="162" t="s">
        <v>198</v>
      </c>
      <c r="Y7" s="162" t="s">
        <v>198</v>
      </c>
      <c r="Z7" s="157" t="s">
        <v>172</v>
      </c>
      <c r="AA7" s="157" t="s">
        <v>172</v>
      </c>
      <c r="AB7" s="158" t="s">
        <v>153</v>
      </c>
      <c r="AC7" s="158" t="s">
        <v>153</v>
      </c>
      <c r="AD7" s="159" t="s">
        <v>180</v>
      </c>
      <c r="AE7" s="159" t="s">
        <v>180</v>
      </c>
      <c r="AF7" s="160" t="s">
        <v>188</v>
      </c>
      <c r="AG7" s="160" t="s">
        <v>188</v>
      </c>
      <c r="AH7" s="161" t="s">
        <v>195</v>
      </c>
      <c r="AI7" s="141" t="s">
        <v>218</v>
      </c>
      <c r="AJ7" s="3" t="s">
        <v>163</v>
      </c>
      <c r="AK7" s="149" t="s">
        <v>203</v>
      </c>
      <c r="AL7" s="34"/>
      <c r="AM7" s="34"/>
      <c r="AN7" s="34"/>
      <c r="AO7" s="34"/>
      <c r="AP7" s="34"/>
      <c r="AQ7" s="34"/>
      <c r="AR7" s="34"/>
    </row>
    <row r="8" spans="1:44" ht="15.75" x14ac:dyDescent="0.25">
      <c r="A8" s="42">
        <v>3</v>
      </c>
      <c r="B8" s="42" t="s">
        <v>25</v>
      </c>
      <c r="C8" s="13" t="s">
        <v>216</v>
      </c>
      <c r="D8" s="14" t="s">
        <v>162</v>
      </c>
      <c r="E8" s="15">
        <v>21.475000000000001</v>
      </c>
      <c r="F8" s="16">
        <v>80.707504</v>
      </c>
      <c r="G8" s="17">
        <v>0.1</v>
      </c>
      <c r="H8" s="49" t="str">
        <v>NFL-164</v>
      </c>
      <c r="I8" s="18"/>
      <c r="J8" s="19">
        <v>2</v>
      </c>
      <c r="K8" s="52" t="str">
        <v>10</v>
      </c>
      <c r="L8" s="52">
        <v>1</v>
      </c>
      <c r="M8" s="52">
        <v>0</v>
      </c>
      <c r="N8" s="52">
        <v>0</v>
      </c>
      <c r="O8" s="52">
        <v>0</v>
      </c>
      <c r="P8" s="19">
        <v>1</v>
      </c>
      <c r="Q8" s="55">
        <f t="shared" ca="1" si="0"/>
        <v>83.03298205987447</v>
      </c>
      <c r="R8" s="55">
        <f t="shared" ca="1" si="1"/>
        <v>83.289971587029356</v>
      </c>
      <c r="S8" s="55" t="str">
        <f t="shared" ca="1" si="2"/>
        <v/>
      </c>
      <c r="T8" s="19">
        <v>0</v>
      </c>
      <c r="U8" s="20"/>
      <c r="W8" s="61" t="s">
        <v>26</v>
      </c>
      <c r="X8" s="156" t="s">
        <v>199</v>
      </c>
      <c r="Y8" s="156" t="s">
        <v>199</v>
      </c>
      <c r="Z8" s="157" t="s">
        <v>173</v>
      </c>
      <c r="AA8" s="157" t="s">
        <v>173</v>
      </c>
      <c r="AB8" s="158" t="s">
        <v>154</v>
      </c>
      <c r="AC8" s="158" t="s">
        <v>154</v>
      </c>
      <c r="AD8" s="159" t="s">
        <v>181</v>
      </c>
      <c r="AE8" s="159" t="s">
        <v>181</v>
      </c>
      <c r="AF8" s="160" t="s">
        <v>189</v>
      </c>
      <c r="AG8" s="160" t="s">
        <v>189</v>
      </c>
      <c r="AH8" s="161" t="s">
        <v>196</v>
      </c>
      <c r="AI8" s="141" t="s">
        <v>218</v>
      </c>
      <c r="AK8" s="149" t="s">
        <v>204</v>
      </c>
      <c r="AL8" s="34"/>
      <c r="AM8" s="34"/>
      <c r="AN8" s="34"/>
      <c r="AO8" s="34"/>
      <c r="AP8" s="34"/>
      <c r="AQ8" s="34"/>
      <c r="AR8" s="34"/>
    </row>
    <row r="9" spans="1:44" ht="15.75" x14ac:dyDescent="0.25">
      <c r="A9" s="42">
        <v>4</v>
      </c>
      <c r="B9" s="42" t="s">
        <v>27</v>
      </c>
      <c r="C9" s="13" t="s">
        <v>216</v>
      </c>
      <c r="D9" s="14" t="s">
        <v>162</v>
      </c>
      <c r="E9" s="15">
        <v>21.466000000000001</v>
      </c>
      <c r="F9" s="16">
        <v>80.707504</v>
      </c>
      <c r="G9" s="17">
        <v>0.1</v>
      </c>
      <c r="H9" s="49" t="str">
        <v>NFL-164</v>
      </c>
      <c r="I9" s="18"/>
      <c r="J9" s="19">
        <v>2</v>
      </c>
      <c r="K9" s="52" t="str">
        <v>10</v>
      </c>
      <c r="L9" s="52">
        <v>1</v>
      </c>
      <c r="M9" s="52">
        <v>0</v>
      </c>
      <c r="N9" s="52">
        <v>0</v>
      </c>
      <c r="O9" s="52">
        <v>0</v>
      </c>
      <c r="P9" s="19">
        <v>1</v>
      </c>
      <c r="Q9" s="55">
        <f t="shared" ca="1" si="0"/>
        <v>83.546961114184256</v>
      </c>
      <c r="R9" s="55">
        <f t="shared" ca="1" si="1"/>
        <v>83.289971587029356</v>
      </c>
      <c r="S9" s="55" t="str">
        <f t="shared" ca="1" si="2"/>
        <v/>
      </c>
      <c r="T9" s="19">
        <v>0</v>
      </c>
      <c r="U9" s="20"/>
      <c r="W9" s="61" t="s">
        <v>28</v>
      </c>
      <c r="X9" s="159" t="s">
        <v>166</v>
      </c>
      <c r="Y9" s="159" t="s">
        <v>166</v>
      </c>
      <c r="Z9" s="157" t="s">
        <v>174</v>
      </c>
      <c r="AA9" s="157" t="s">
        <v>174</v>
      </c>
      <c r="AB9" s="158" t="s">
        <v>155</v>
      </c>
      <c r="AC9" s="158" t="s">
        <v>155</v>
      </c>
      <c r="AD9" s="159" t="s">
        <v>182</v>
      </c>
      <c r="AE9" s="159" t="s">
        <v>182</v>
      </c>
      <c r="AF9" s="160" t="s">
        <v>190</v>
      </c>
      <c r="AG9" s="160" t="s">
        <v>190</v>
      </c>
      <c r="AH9" s="161" t="s">
        <v>196</v>
      </c>
      <c r="AI9" s="141" t="s">
        <v>218</v>
      </c>
      <c r="AK9" s="149" t="s">
        <v>212</v>
      </c>
      <c r="AL9" s="34"/>
      <c r="AM9" s="34"/>
      <c r="AN9" s="34"/>
      <c r="AO9" s="34"/>
      <c r="AP9" s="34"/>
      <c r="AQ9" s="34"/>
      <c r="AR9" s="34"/>
    </row>
    <row r="10" spans="1:44" ht="15.75" x14ac:dyDescent="0.25">
      <c r="A10" s="42">
        <v>5</v>
      </c>
      <c r="B10" s="42" t="s">
        <v>29</v>
      </c>
      <c r="C10" s="13" t="s">
        <v>217</v>
      </c>
      <c r="D10" s="14" t="s">
        <v>162</v>
      </c>
      <c r="E10" s="15">
        <v>13.430999999999999</v>
      </c>
      <c r="F10" s="16">
        <v>80.707504</v>
      </c>
      <c r="G10" s="17">
        <v>0.1</v>
      </c>
      <c r="H10" s="49" t="str">
        <v>std1[2000]_progen#62008</v>
      </c>
      <c r="I10" s="18"/>
      <c r="J10" s="19">
        <v>3</v>
      </c>
      <c r="K10" s="52" t="str">
        <v>1</v>
      </c>
      <c r="L10" s="52">
        <v>1</v>
      </c>
      <c r="M10" s="52">
        <v>0</v>
      </c>
      <c r="N10" s="52">
        <v>0</v>
      </c>
      <c r="O10" s="52">
        <v>0</v>
      </c>
      <c r="P10" s="19">
        <v>1</v>
      </c>
      <c r="Q10" s="55">
        <f t="shared" ca="1" si="0"/>
        <v>2063.4547494628491</v>
      </c>
      <c r="R10" s="55">
        <f t="shared" ca="1" si="1"/>
        <v>1936.811455813667</v>
      </c>
      <c r="S10" s="55">
        <f t="shared" ca="1" si="2"/>
        <v>1.0317273747314246</v>
      </c>
      <c r="T10" s="19">
        <v>0</v>
      </c>
      <c r="U10" s="20"/>
      <c r="W10" s="61" t="s">
        <v>30</v>
      </c>
      <c r="X10" s="159" t="s">
        <v>167</v>
      </c>
      <c r="Y10" s="159" t="s">
        <v>167</v>
      </c>
      <c r="Z10" s="157" t="s">
        <v>175</v>
      </c>
      <c r="AA10" s="157" t="s">
        <v>175</v>
      </c>
      <c r="AB10" s="158" t="s">
        <v>156</v>
      </c>
      <c r="AC10" s="158" t="s">
        <v>156</v>
      </c>
      <c r="AD10" s="159" t="s">
        <v>183</v>
      </c>
      <c r="AE10" s="159" t="s">
        <v>183</v>
      </c>
      <c r="AF10" s="160" t="s">
        <v>191</v>
      </c>
      <c r="AG10" s="160" t="s">
        <v>191</v>
      </c>
      <c r="AH10" s="156" t="s">
        <v>197</v>
      </c>
      <c r="AI10" s="141" t="s">
        <v>218</v>
      </c>
      <c r="AK10" s="149" t="s">
        <v>213</v>
      </c>
      <c r="AL10" s="34"/>
      <c r="AM10" s="34"/>
      <c r="AN10" s="34"/>
      <c r="AO10" s="34"/>
      <c r="AP10" s="34"/>
      <c r="AQ10" s="34"/>
      <c r="AR10" s="34"/>
    </row>
    <row r="11" spans="1:44" ht="15.75" x14ac:dyDescent="0.25">
      <c r="A11" s="42">
        <v>6</v>
      </c>
      <c r="B11" s="42" t="s">
        <v>31</v>
      </c>
      <c r="C11" s="13" t="s">
        <v>217</v>
      </c>
      <c r="D11" s="14" t="s">
        <v>162</v>
      </c>
      <c r="E11" s="15">
        <v>13.622</v>
      </c>
      <c r="F11" s="16">
        <v>80.956289999999996</v>
      </c>
      <c r="G11" s="17">
        <v>0.1</v>
      </c>
      <c r="H11" s="49" t="str">
        <v>std1[2000]_progen#62008</v>
      </c>
      <c r="I11" s="18"/>
      <c r="J11" s="19">
        <v>3</v>
      </c>
      <c r="K11" s="52" t="str">
        <v>1</v>
      </c>
      <c r="L11" s="52">
        <v>1</v>
      </c>
      <c r="M11" s="52">
        <v>0</v>
      </c>
      <c r="N11" s="52">
        <v>0</v>
      </c>
      <c r="O11" s="52">
        <v>0</v>
      </c>
      <c r="P11" s="19">
        <v>1</v>
      </c>
      <c r="Q11" s="55">
        <f t="shared" ca="1" si="0"/>
        <v>1810.1681621644848</v>
      </c>
      <c r="R11" s="55">
        <f t="shared" ca="1" si="1"/>
        <v>1936.811455813667</v>
      </c>
      <c r="S11" s="55">
        <f t="shared" ca="1" si="2"/>
        <v>0.90508408108224236</v>
      </c>
      <c r="T11" s="19">
        <v>0</v>
      </c>
      <c r="U11" s="20"/>
      <c r="W11" s="61" t="s">
        <v>32</v>
      </c>
      <c r="X11" s="159" t="s">
        <v>168</v>
      </c>
      <c r="Y11" s="159" t="s">
        <v>168</v>
      </c>
      <c r="Z11" s="157" t="s">
        <v>176</v>
      </c>
      <c r="AA11" s="157" t="s">
        <v>176</v>
      </c>
      <c r="AB11" s="158" t="s">
        <v>157</v>
      </c>
      <c r="AC11" s="158" t="s">
        <v>157</v>
      </c>
      <c r="AD11" s="159" t="s">
        <v>184</v>
      </c>
      <c r="AE11" s="159" t="s">
        <v>184</v>
      </c>
      <c r="AF11" s="160" t="s">
        <v>192</v>
      </c>
      <c r="AG11" s="160" t="s">
        <v>192</v>
      </c>
      <c r="AH11" s="156" t="s">
        <v>197</v>
      </c>
      <c r="AI11" s="141"/>
      <c r="AK11" s="149" t="s">
        <v>211</v>
      </c>
      <c r="AL11" s="34"/>
      <c r="AM11" s="34"/>
      <c r="AN11" s="34"/>
      <c r="AO11" s="34"/>
      <c r="AP11" s="34"/>
      <c r="AQ11" s="34"/>
      <c r="AR11" s="34"/>
    </row>
    <row r="12" spans="1:44" ht="15.75" x14ac:dyDescent="0.25">
      <c r="A12" s="42">
        <v>7</v>
      </c>
      <c r="B12" s="42" t="s">
        <v>33</v>
      </c>
      <c r="C12" s="13" t="s">
        <v>216</v>
      </c>
      <c r="D12" s="14" t="s">
        <v>162</v>
      </c>
      <c r="E12" s="15">
        <v>24.148</v>
      </c>
      <c r="F12" s="16">
        <v>80.956289999999996</v>
      </c>
      <c r="G12" s="17">
        <v>0.1</v>
      </c>
      <c r="H12" s="49" t="str">
        <v>NFL-172</v>
      </c>
      <c r="I12" s="18"/>
      <c r="J12" s="19">
        <v>4</v>
      </c>
      <c r="K12" s="52" t="str">
        <v>10</v>
      </c>
      <c r="L12" s="52">
        <v>1</v>
      </c>
      <c r="M12" s="52">
        <v>0</v>
      </c>
      <c r="N12" s="52">
        <v>0</v>
      </c>
      <c r="O12" s="52">
        <v>0</v>
      </c>
      <c r="P12" s="19">
        <v>1</v>
      </c>
      <c r="Q12" s="55">
        <f t="shared" ca="1" si="0"/>
        <v>13.282628709641271</v>
      </c>
      <c r="R12" s="55">
        <f t="shared" ca="1" si="1"/>
        <v>12.617111949160009</v>
      </c>
      <c r="S12" s="55" t="str">
        <f t="shared" ca="1" si="2"/>
        <v/>
      </c>
      <c r="T12" s="19">
        <v>0</v>
      </c>
      <c r="U12" s="20"/>
      <c r="W12" s="61" t="s">
        <v>34</v>
      </c>
      <c r="X12" s="156" t="s">
        <v>169</v>
      </c>
      <c r="Y12" s="156" t="s">
        <v>169</v>
      </c>
      <c r="Z12" s="157" t="s">
        <v>177</v>
      </c>
      <c r="AA12" s="157" t="s">
        <v>177</v>
      </c>
      <c r="AB12" s="158" t="s">
        <v>158</v>
      </c>
      <c r="AC12" s="158" t="s">
        <v>158</v>
      </c>
      <c r="AD12" s="159" t="s">
        <v>185</v>
      </c>
      <c r="AE12" s="159" t="s">
        <v>185</v>
      </c>
      <c r="AF12" s="160" t="s">
        <v>193</v>
      </c>
      <c r="AG12" s="160" t="s">
        <v>193</v>
      </c>
      <c r="AH12" s="156" t="s">
        <v>197</v>
      </c>
      <c r="AI12" s="141" t="s">
        <v>218</v>
      </c>
      <c r="AK12" s="149" t="s">
        <v>209</v>
      </c>
      <c r="AL12" s="34"/>
      <c r="AM12" s="34"/>
      <c r="AN12" s="34"/>
      <c r="AO12" s="34"/>
      <c r="AP12" s="34"/>
      <c r="AQ12" s="34"/>
      <c r="AR12" s="34"/>
    </row>
    <row r="13" spans="1:44" ht="15.75" x14ac:dyDescent="0.25">
      <c r="A13" s="42">
        <v>8</v>
      </c>
      <c r="B13" s="42" t="s">
        <v>35</v>
      </c>
      <c r="C13" s="13" t="s">
        <v>216</v>
      </c>
      <c r="D13" s="14" t="s">
        <v>162</v>
      </c>
      <c r="E13" s="15">
        <v>24.302</v>
      </c>
      <c r="F13" s="16">
        <v>80.707504</v>
      </c>
      <c r="G13" s="17">
        <v>0.1</v>
      </c>
      <c r="H13" s="49" t="str">
        <v>NFL-172</v>
      </c>
      <c r="I13" s="18"/>
      <c r="J13" s="19">
        <v>4</v>
      </c>
      <c r="K13" s="52" t="str">
        <v>10</v>
      </c>
      <c r="L13" s="52">
        <v>1</v>
      </c>
      <c r="M13" s="52">
        <v>0</v>
      </c>
      <c r="N13" s="52">
        <v>0</v>
      </c>
      <c r="O13" s="52">
        <v>0</v>
      </c>
      <c r="P13" s="19">
        <v>1</v>
      </c>
      <c r="Q13" s="55">
        <f t="shared" ca="1" si="0"/>
        <v>11.951595188678745</v>
      </c>
      <c r="R13" s="55">
        <f t="shared" ca="1" si="1"/>
        <v>12.617111949160009</v>
      </c>
      <c r="S13" s="55" t="str">
        <f t="shared" ca="1" si="2"/>
        <v/>
      </c>
      <c r="T13" s="19">
        <v>0</v>
      </c>
      <c r="U13" s="20"/>
      <c r="W13" s="64" t="s">
        <v>36</v>
      </c>
      <c r="X13" s="142" t="s">
        <v>170</v>
      </c>
      <c r="Y13" s="142" t="s">
        <v>170</v>
      </c>
      <c r="Z13" s="143" t="s">
        <v>178</v>
      </c>
      <c r="AA13" s="143" t="s">
        <v>178</v>
      </c>
      <c r="AB13" s="144" t="s">
        <v>159</v>
      </c>
      <c r="AC13" s="144" t="s">
        <v>159</v>
      </c>
      <c r="AD13" s="145" t="s">
        <v>186</v>
      </c>
      <c r="AE13" s="145" t="s">
        <v>186</v>
      </c>
      <c r="AF13" s="139" t="s">
        <v>194</v>
      </c>
      <c r="AG13" s="139" t="s">
        <v>194</v>
      </c>
      <c r="AH13" s="142" t="s">
        <v>197</v>
      </c>
      <c r="AI13" s="146" t="s">
        <v>218</v>
      </c>
      <c r="AK13" s="149" t="s">
        <v>207</v>
      </c>
      <c r="AL13" s="34"/>
      <c r="AM13" s="34"/>
      <c r="AN13" s="34"/>
      <c r="AO13" s="34"/>
      <c r="AP13" s="34"/>
      <c r="AQ13" s="34"/>
      <c r="AR13" s="34"/>
    </row>
    <row r="14" spans="1:44" ht="15.75" x14ac:dyDescent="0.25">
      <c r="A14" s="42">
        <v>9</v>
      </c>
      <c r="B14" s="42" t="s">
        <v>37</v>
      </c>
      <c r="C14" s="13" t="s">
        <v>216</v>
      </c>
      <c r="D14" s="14" t="s">
        <v>162</v>
      </c>
      <c r="E14" s="15">
        <v>24.309000000000001</v>
      </c>
      <c r="F14" s="16">
        <v>80.707504</v>
      </c>
      <c r="G14" s="17">
        <v>0.1</v>
      </c>
      <c r="H14" s="49" t="str">
        <v>NFL-180</v>
      </c>
      <c r="I14" s="18"/>
      <c r="J14" s="19">
        <v>5</v>
      </c>
      <c r="K14" s="52" t="str">
        <v>10</v>
      </c>
      <c r="L14" s="52">
        <v>1</v>
      </c>
      <c r="M14" s="52">
        <v>0</v>
      </c>
      <c r="N14" s="52">
        <v>0</v>
      </c>
      <c r="O14" s="52">
        <v>0</v>
      </c>
      <c r="P14" s="19">
        <v>1</v>
      </c>
      <c r="Q14" s="55">
        <f t="shared" ca="1" si="0"/>
        <v>11.894369150986002</v>
      </c>
      <c r="R14" s="55">
        <f t="shared" ca="1" si="1"/>
        <v>11.927080966302654</v>
      </c>
      <c r="S14" s="55" t="str">
        <f t="shared" ca="1" si="2"/>
        <v/>
      </c>
      <c r="T14" s="19">
        <v>0</v>
      </c>
      <c r="U14" s="20"/>
      <c r="X14" s="128"/>
      <c r="Y14" s="128"/>
      <c r="Z14" s="128"/>
      <c r="AA14" s="128"/>
      <c r="AB14" s="166"/>
      <c r="AC14" s="166"/>
      <c r="AE14" s="128"/>
      <c r="AF14" s="128"/>
      <c r="AG14" s="128"/>
      <c r="AH14" s="128"/>
      <c r="AI14" s="128"/>
      <c r="AK14" s="149" t="s">
        <v>208</v>
      </c>
      <c r="AL14" s="34"/>
      <c r="AM14" s="34"/>
      <c r="AN14" s="34"/>
      <c r="AO14" s="34"/>
      <c r="AP14" s="34"/>
      <c r="AQ14" s="34"/>
      <c r="AR14" s="34"/>
    </row>
    <row r="15" spans="1:44" ht="15.75" x14ac:dyDescent="0.25">
      <c r="A15" s="42">
        <v>10</v>
      </c>
      <c r="B15" s="42" t="s">
        <v>38</v>
      </c>
      <c r="C15" s="13" t="s">
        <v>216</v>
      </c>
      <c r="D15" s="14" t="s">
        <v>162</v>
      </c>
      <c r="E15" s="15">
        <v>24.300999999999998</v>
      </c>
      <c r="F15" s="16">
        <v>80.707504</v>
      </c>
      <c r="G15" s="17">
        <v>0.1</v>
      </c>
      <c r="H15" s="49" t="str">
        <v>NFL-180</v>
      </c>
      <c r="I15" s="18"/>
      <c r="J15" s="19">
        <v>5</v>
      </c>
      <c r="K15" s="52" t="str">
        <v>10</v>
      </c>
      <c r="L15" s="52">
        <v>1</v>
      </c>
      <c r="M15" s="52">
        <v>0</v>
      </c>
      <c r="N15" s="52">
        <v>0</v>
      </c>
      <c r="O15" s="52">
        <v>0</v>
      </c>
      <c r="P15" s="19">
        <v>1</v>
      </c>
      <c r="Q15" s="55">
        <f t="shared" ca="1" si="0"/>
        <v>11.959792781619306</v>
      </c>
      <c r="R15" s="55">
        <f t="shared" ca="1" si="1"/>
        <v>11.927080966302654</v>
      </c>
      <c r="S15" s="55" t="str">
        <f t="shared" ca="1" si="2"/>
        <v/>
      </c>
      <c r="T15" s="19">
        <v>0</v>
      </c>
      <c r="U15" s="20"/>
      <c r="W15" s="57" t="s">
        <v>39</v>
      </c>
      <c r="AK15" s="149" t="s">
        <v>206</v>
      </c>
      <c r="AL15" s="34"/>
      <c r="AM15" s="34"/>
      <c r="AN15" s="34"/>
      <c r="AO15" s="34"/>
      <c r="AP15" s="34"/>
      <c r="AQ15" s="34"/>
      <c r="AR15" s="34"/>
    </row>
    <row r="16" spans="1:44" ht="15.75" x14ac:dyDescent="0.25">
      <c r="A16" s="42">
        <v>11</v>
      </c>
      <c r="B16" s="42" t="s">
        <v>40</v>
      </c>
      <c r="C16" s="13" t="s">
        <v>216</v>
      </c>
      <c r="D16" s="14" t="s">
        <v>162</v>
      </c>
      <c r="E16" s="15">
        <v>24.713000000000001</v>
      </c>
      <c r="F16" s="16">
        <v>80.707504</v>
      </c>
      <c r="G16" s="17">
        <v>0.1</v>
      </c>
      <c r="H16" s="49" t="str">
        <v>NFL-188</v>
      </c>
      <c r="I16" s="18"/>
      <c r="J16" s="19">
        <v>41</v>
      </c>
      <c r="K16" s="52" t="str">
        <v>10</v>
      </c>
      <c r="L16" s="52">
        <v>1</v>
      </c>
      <c r="M16" s="52">
        <v>0</v>
      </c>
      <c r="N16" s="52">
        <v>0</v>
      </c>
      <c r="O16" s="52">
        <v>0</v>
      </c>
      <c r="P16" s="19">
        <v>1</v>
      </c>
      <c r="Q16" s="55">
        <f t="shared" ca="1" si="0"/>
        <v>9.0165042741632657</v>
      </c>
      <c r="R16" s="55">
        <f t="shared" ca="1" si="1"/>
        <v>6.5101244992437994</v>
      </c>
      <c r="S16" s="55" t="str">
        <f t="shared" ca="1" si="2"/>
        <v/>
      </c>
      <c r="T16" s="19">
        <v>0</v>
      </c>
      <c r="U16" s="20"/>
      <c r="W16" s="58"/>
      <c r="X16" s="59">
        <v>1</v>
      </c>
      <c r="Y16" s="59">
        <v>2</v>
      </c>
      <c r="Z16" s="58">
        <v>3</v>
      </c>
      <c r="AA16" s="60">
        <v>4</v>
      </c>
      <c r="AB16" s="59">
        <v>5</v>
      </c>
      <c r="AC16" s="59">
        <v>6</v>
      </c>
      <c r="AD16" s="58">
        <v>7</v>
      </c>
      <c r="AE16" s="60">
        <v>8</v>
      </c>
      <c r="AF16" s="59">
        <v>9</v>
      </c>
      <c r="AG16" s="59">
        <v>10</v>
      </c>
      <c r="AH16" s="58">
        <v>11</v>
      </c>
      <c r="AI16" s="60">
        <v>12</v>
      </c>
      <c r="AK16" s="149" t="s">
        <v>205</v>
      </c>
      <c r="AL16" s="34"/>
      <c r="AM16" s="34"/>
      <c r="AN16" s="34"/>
      <c r="AO16" s="34"/>
      <c r="AP16" s="34"/>
      <c r="AQ16" s="34"/>
      <c r="AR16" s="34"/>
    </row>
    <row r="17" spans="1:44" ht="15.75" x14ac:dyDescent="0.25">
      <c r="A17" s="43">
        <v>12</v>
      </c>
      <c r="B17" s="42" t="s">
        <v>41</v>
      </c>
      <c r="C17" s="13" t="s">
        <v>218</v>
      </c>
      <c r="D17" s="14" t="s">
        <v>162</v>
      </c>
      <c r="E17" s="15" t="s">
        <v>164</v>
      </c>
      <c r="F17" s="16">
        <v>81.205070000000006</v>
      </c>
      <c r="G17" s="17">
        <v>0.1</v>
      </c>
      <c r="H17" s="49" t="str">
        <v>unused</v>
      </c>
      <c r="I17" s="18"/>
      <c r="J17" s="19">
        <v>45</v>
      </c>
      <c r="K17" s="52" t="str">
        <v>1</v>
      </c>
      <c r="L17" s="52">
        <v>1</v>
      </c>
      <c r="M17" s="87">
        <v>0</v>
      </c>
      <c r="N17" s="52">
        <v>0</v>
      </c>
      <c r="O17" s="63">
        <v>0</v>
      </c>
      <c r="P17" s="19">
        <v>1</v>
      </c>
      <c r="Q17" s="55" t="str">
        <f t="shared" si="0"/>
        <v/>
      </c>
      <c r="R17" s="55" t="str">
        <f t="shared" si="1"/>
        <v/>
      </c>
      <c r="S17" s="55" t="str">
        <f t="shared" si="2"/>
        <v/>
      </c>
      <c r="T17" s="19">
        <v>1</v>
      </c>
      <c r="U17" s="20"/>
      <c r="W17" s="61" t="s">
        <v>22</v>
      </c>
      <c r="X17" s="163" t="s">
        <v>161</v>
      </c>
      <c r="Y17" s="163" t="s">
        <v>161</v>
      </c>
      <c r="Z17" s="163" t="s">
        <v>161</v>
      </c>
      <c r="AA17" s="163" t="s">
        <v>161</v>
      </c>
      <c r="AB17" s="163" t="s">
        <v>160</v>
      </c>
      <c r="AC17" s="163" t="s">
        <v>160</v>
      </c>
      <c r="AD17" s="163" t="s">
        <v>161</v>
      </c>
      <c r="AE17" s="163" t="s">
        <v>161</v>
      </c>
      <c r="AF17" s="163" t="s">
        <v>161</v>
      </c>
      <c r="AG17" s="163" t="s">
        <v>161</v>
      </c>
      <c r="AH17" s="163" t="s">
        <v>161</v>
      </c>
      <c r="AI17" s="164" t="s">
        <v>160</v>
      </c>
      <c r="AK17" s="149" t="s">
        <v>210</v>
      </c>
      <c r="AL17" s="34"/>
      <c r="AM17" s="34"/>
      <c r="AN17" s="34"/>
      <c r="AO17" s="34"/>
      <c r="AP17" s="34"/>
      <c r="AQ17" s="34"/>
      <c r="AR17" s="34"/>
    </row>
    <row r="18" spans="1:44" ht="15.75" x14ac:dyDescent="0.25">
      <c r="A18" s="42">
        <v>13</v>
      </c>
      <c r="B18" s="41" t="s">
        <v>42</v>
      </c>
      <c r="C18" s="5" t="s">
        <v>215</v>
      </c>
      <c r="D18" s="6" t="s">
        <v>162</v>
      </c>
      <c r="E18" s="7">
        <v>25.375</v>
      </c>
      <c r="F18" s="8">
        <v>80.707504</v>
      </c>
      <c r="G18" s="9">
        <v>0.1</v>
      </c>
      <c r="H18" s="48" t="str" cm="1">
        <f t="array" ref="H18:H29">TRANSPOSE(X7:AI7)</f>
        <v>NFL-QC-L</v>
      </c>
      <c r="I18" s="10"/>
      <c r="J18" s="11">
        <v>6</v>
      </c>
      <c r="K18" s="51" t="str" cm="1">
        <f t="array" ref="K18:K29">TRANSPOSE(RIGHT(LEFT(X18:AI18,FIND(";",X18:AI18)-1),LEN(LEFT(X18:AI18,FIND(";",X18:AI18)-1))-1))</f>
        <v>10</v>
      </c>
      <c r="L18" s="51" cm="1">
        <f t="array" ref="L18:L29">TRANSPOSE(IF(ISNUMBER(SEARCH("v1",X18:AI18)),1,0))</f>
        <v>1</v>
      </c>
      <c r="M18" s="51" cm="1">
        <f t="array" ref="M18:M29">TRANSPOSE(IF(ISNUMBER(SEARCH("v2",X18:AI18)),1,0))</f>
        <v>0</v>
      </c>
      <c r="N18" s="51" cm="1">
        <f t="array" ref="N18:N29">TRANSPOSE(IF(ISNUMBER(SEARCH("v3",X18:AI18)),1,0))</f>
        <v>0</v>
      </c>
      <c r="O18" s="51" cm="1">
        <f t="array" ref="O18:O29">TRANSPOSE(IF(ISNUMBER(SEARCH("v4",X18:AI18)),1,0))</f>
        <v>0</v>
      </c>
      <c r="P18" s="11">
        <v>1</v>
      </c>
      <c r="Q18" s="54">
        <f t="shared" ca="1" si="0"/>
        <v>5.7267426724031427</v>
      </c>
      <c r="R18" s="54">
        <f t="shared" ca="1" si="1"/>
        <v>5.7822464923318382</v>
      </c>
      <c r="S18" s="54" t="str">
        <f t="shared" ca="1" si="2"/>
        <v/>
      </c>
      <c r="T18" s="11">
        <v>0</v>
      </c>
      <c r="U18" s="12"/>
      <c r="W18" s="61" t="s">
        <v>24</v>
      </c>
      <c r="X18" s="163" t="s">
        <v>161</v>
      </c>
      <c r="Y18" s="163" t="s">
        <v>161</v>
      </c>
      <c r="Z18" s="163" t="s">
        <v>161</v>
      </c>
      <c r="AA18" s="163" t="s">
        <v>161</v>
      </c>
      <c r="AB18" s="163" t="s">
        <v>160</v>
      </c>
      <c r="AC18" s="163" t="s">
        <v>160</v>
      </c>
      <c r="AD18" s="163" t="s">
        <v>161</v>
      </c>
      <c r="AE18" s="163" t="s">
        <v>161</v>
      </c>
      <c r="AF18" s="163" t="s">
        <v>161</v>
      </c>
      <c r="AG18" s="163" t="s">
        <v>161</v>
      </c>
      <c r="AH18" s="163" t="s">
        <v>161</v>
      </c>
      <c r="AI18" s="164" t="s">
        <v>160</v>
      </c>
      <c r="AK18" s="149"/>
      <c r="AL18" s="34"/>
      <c r="AM18" s="34"/>
      <c r="AN18" s="34"/>
      <c r="AO18" s="34"/>
      <c r="AP18" s="34"/>
      <c r="AQ18" s="34"/>
      <c r="AR18" s="34"/>
    </row>
    <row r="19" spans="1:44" ht="15.75" x14ac:dyDescent="0.25">
      <c r="A19" s="42">
        <v>14</v>
      </c>
      <c r="B19" s="42" t="s">
        <v>43</v>
      </c>
      <c r="C19" s="13" t="s">
        <v>215</v>
      </c>
      <c r="D19" s="14" t="s">
        <v>162</v>
      </c>
      <c r="E19" s="15">
        <v>25.347000000000001</v>
      </c>
      <c r="F19" s="16">
        <v>80.707504</v>
      </c>
      <c r="G19" s="17">
        <v>0.1</v>
      </c>
      <c r="H19" s="49" t="str">
        <v>NFL-QC-L</v>
      </c>
      <c r="I19" s="18"/>
      <c r="J19" s="19">
        <v>6</v>
      </c>
      <c r="K19" s="52" t="str">
        <v>10</v>
      </c>
      <c r="L19" s="52">
        <v>1</v>
      </c>
      <c r="M19" s="52">
        <v>0</v>
      </c>
      <c r="N19" s="52">
        <v>0</v>
      </c>
      <c r="O19" s="63">
        <v>0</v>
      </c>
      <c r="P19" s="19">
        <v>1</v>
      </c>
      <c r="Q19" s="55">
        <f t="shared" ca="1" si="0"/>
        <v>5.8377503122605345</v>
      </c>
      <c r="R19" s="55">
        <f t="shared" ca="1" si="1"/>
        <v>5.7822464923318382</v>
      </c>
      <c r="S19" s="55" t="str">
        <f t="shared" ca="1" si="2"/>
        <v/>
      </c>
      <c r="T19" s="19">
        <v>0</v>
      </c>
      <c r="U19" s="20"/>
      <c r="W19" s="61" t="s">
        <v>26</v>
      </c>
      <c r="X19" s="163" t="s">
        <v>161</v>
      </c>
      <c r="Y19" s="163" t="s">
        <v>161</v>
      </c>
      <c r="Z19" s="163" t="s">
        <v>161</v>
      </c>
      <c r="AA19" s="163" t="s">
        <v>161</v>
      </c>
      <c r="AB19" s="163" t="s">
        <v>160</v>
      </c>
      <c r="AC19" s="163" t="s">
        <v>160</v>
      </c>
      <c r="AD19" s="163" t="s">
        <v>161</v>
      </c>
      <c r="AE19" s="163" t="s">
        <v>161</v>
      </c>
      <c r="AF19" s="163" t="s">
        <v>161</v>
      </c>
      <c r="AG19" s="163" t="s">
        <v>161</v>
      </c>
      <c r="AH19" s="163" t="s">
        <v>161</v>
      </c>
      <c r="AI19" s="164" t="s">
        <v>160</v>
      </c>
      <c r="AK19" s="149"/>
      <c r="AL19" s="34"/>
      <c r="AM19" s="34"/>
      <c r="AN19" s="34"/>
      <c r="AO19" s="34"/>
      <c r="AP19" s="34"/>
      <c r="AQ19" s="34"/>
      <c r="AR19" s="34"/>
    </row>
    <row r="20" spans="1:44" ht="15.75" x14ac:dyDescent="0.25">
      <c r="A20" s="42">
        <v>15</v>
      </c>
      <c r="B20" s="42" t="s">
        <v>44</v>
      </c>
      <c r="C20" s="13" t="s">
        <v>216</v>
      </c>
      <c r="D20" s="14" t="s">
        <v>162</v>
      </c>
      <c r="E20" s="15">
        <v>23.881</v>
      </c>
      <c r="F20" s="16">
        <v>80.707504</v>
      </c>
      <c r="G20" s="17">
        <v>0.1</v>
      </c>
      <c r="H20" s="49" t="str">
        <v>NFL-165</v>
      </c>
      <c r="I20" s="18"/>
      <c r="J20" s="19">
        <v>7</v>
      </c>
      <c r="K20" s="52" t="str">
        <v>10</v>
      </c>
      <c r="L20" s="52">
        <v>1</v>
      </c>
      <c r="M20" s="52">
        <v>0</v>
      </c>
      <c r="N20" s="52">
        <v>0</v>
      </c>
      <c r="O20" s="52">
        <v>0</v>
      </c>
      <c r="P20" s="19">
        <v>1</v>
      </c>
      <c r="Q20" s="55">
        <f t="shared" ca="1" si="0"/>
        <v>15.951126497136672</v>
      </c>
      <c r="R20" s="55">
        <f t="shared" ca="1" si="1"/>
        <v>16.331793925194557</v>
      </c>
      <c r="S20" s="55" t="str">
        <f t="shared" ca="1" si="2"/>
        <v/>
      </c>
      <c r="T20" s="19">
        <v>0</v>
      </c>
      <c r="U20" s="20"/>
      <c r="W20" s="61" t="s">
        <v>28</v>
      </c>
      <c r="X20" s="163" t="s">
        <v>161</v>
      </c>
      <c r="Y20" s="163" t="s">
        <v>161</v>
      </c>
      <c r="Z20" s="163" t="s">
        <v>161</v>
      </c>
      <c r="AA20" s="163" t="s">
        <v>161</v>
      </c>
      <c r="AB20" s="163" t="s">
        <v>160</v>
      </c>
      <c r="AC20" s="163" t="s">
        <v>160</v>
      </c>
      <c r="AD20" s="163" t="s">
        <v>161</v>
      </c>
      <c r="AE20" s="163" t="s">
        <v>161</v>
      </c>
      <c r="AF20" s="163" t="s">
        <v>161</v>
      </c>
      <c r="AG20" s="163" t="s">
        <v>161</v>
      </c>
      <c r="AH20" s="163" t="s">
        <v>161</v>
      </c>
      <c r="AI20" s="164" t="s">
        <v>160</v>
      </c>
      <c r="AK20" s="149"/>
      <c r="AL20" s="34"/>
      <c r="AM20" s="34"/>
      <c r="AN20" s="34"/>
      <c r="AO20" s="34"/>
      <c r="AP20" s="34"/>
      <c r="AQ20" s="34"/>
      <c r="AR20" s="34"/>
    </row>
    <row r="21" spans="1:44" ht="15.75" x14ac:dyDescent="0.25">
      <c r="A21" s="42">
        <v>16</v>
      </c>
      <c r="B21" s="42" t="s">
        <v>45</v>
      </c>
      <c r="C21" s="13" t="s">
        <v>216</v>
      </c>
      <c r="D21" s="14" t="s">
        <v>162</v>
      </c>
      <c r="E21" s="15">
        <v>23.812999999999999</v>
      </c>
      <c r="F21" s="16">
        <v>80.707504</v>
      </c>
      <c r="G21" s="17">
        <v>0.1</v>
      </c>
      <c r="H21" s="49" t="str">
        <v>NFL-165</v>
      </c>
      <c r="I21" s="18"/>
      <c r="J21" s="19">
        <v>7</v>
      </c>
      <c r="K21" s="52" t="str">
        <v>10</v>
      </c>
      <c r="L21" s="52">
        <v>1</v>
      </c>
      <c r="M21" s="52">
        <v>0</v>
      </c>
      <c r="N21" s="52">
        <v>0</v>
      </c>
      <c r="O21" s="52">
        <v>0</v>
      </c>
      <c r="P21" s="19">
        <v>1</v>
      </c>
      <c r="Q21" s="55">
        <f t="shared" ca="1" si="0"/>
        <v>16.71246135325244</v>
      </c>
      <c r="R21" s="55">
        <f t="shared" ca="1" si="1"/>
        <v>16.331793925194557</v>
      </c>
      <c r="S21" s="55" t="str">
        <f t="shared" ca="1" si="2"/>
        <v/>
      </c>
      <c r="T21" s="19">
        <v>0</v>
      </c>
      <c r="U21" s="20"/>
      <c r="W21" s="61" t="s">
        <v>30</v>
      </c>
      <c r="X21" s="163" t="s">
        <v>161</v>
      </c>
      <c r="Y21" s="163" t="s">
        <v>161</v>
      </c>
      <c r="Z21" s="163" t="s">
        <v>161</v>
      </c>
      <c r="AA21" s="163" t="s">
        <v>161</v>
      </c>
      <c r="AB21" s="163" t="s">
        <v>160</v>
      </c>
      <c r="AC21" s="163" t="s">
        <v>160</v>
      </c>
      <c r="AD21" s="163" t="s">
        <v>161</v>
      </c>
      <c r="AE21" s="163" t="s">
        <v>161</v>
      </c>
      <c r="AF21" s="163" t="s">
        <v>161</v>
      </c>
      <c r="AG21" s="163" t="s">
        <v>161</v>
      </c>
      <c r="AH21" s="163" t="s">
        <v>161</v>
      </c>
      <c r="AI21" s="164" t="s">
        <v>160</v>
      </c>
      <c r="AK21" s="149"/>
      <c r="AL21" s="34"/>
      <c r="AM21" s="34"/>
      <c r="AN21" s="34"/>
      <c r="AO21" s="34"/>
      <c r="AP21" s="34"/>
      <c r="AQ21" s="34"/>
      <c r="AR21" s="34"/>
    </row>
    <row r="22" spans="1:44" ht="15.75" x14ac:dyDescent="0.25">
      <c r="A22" s="42">
        <v>17</v>
      </c>
      <c r="B22" s="42" t="s">
        <v>46</v>
      </c>
      <c r="C22" s="13" t="s">
        <v>217</v>
      </c>
      <c r="D22" s="14" t="s">
        <v>162</v>
      </c>
      <c r="E22" s="15">
        <v>15.765000000000001</v>
      </c>
      <c r="F22" s="16">
        <v>80.707504</v>
      </c>
      <c r="G22" s="17">
        <v>0.1</v>
      </c>
      <c r="H22" s="49" t="str">
        <v>std1[400]_progen#62008</v>
      </c>
      <c r="I22" s="18"/>
      <c r="J22" s="19">
        <v>8</v>
      </c>
      <c r="K22" s="52" t="str">
        <v>1</v>
      </c>
      <c r="L22" s="52">
        <v>1</v>
      </c>
      <c r="M22" s="52">
        <v>0</v>
      </c>
      <c r="N22" s="52">
        <v>0</v>
      </c>
      <c r="O22" s="52">
        <v>0</v>
      </c>
      <c r="P22" s="19">
        <v>1</v>
      </c>
      <c r="Q22" s="55">
        <f t="shared" ca="1" si="0"/>
        <v>416.46245116148617</v>
      </c>
      <c r="R22" s="55">
        <f t="shared" ca="1" si="1"/>
        <v>413.90826427818718</v>
      </c>
      <c r="S22" s="55">
        <f t="shared" ca="1" si="2"/>
        <v>1.0411561279037154</v>
      </c>
      <c r="T22" s="19">
        <v>0</v>
      </c>
      <c r="U22" s="20"/>
      <c r="W22" s="61" t="s">
        <v>32</v>
      </c>
      <c r="X22" s="163" t="s">
        <v>161</v>
      </c>
      <c r="Y22" s="163" t="s">
        <v>161</v>
      </c>
      <c r="Z22" s="163" t="s">
        <v>161</v>
      </c>
      <c r="AA22" s="163" t="s">
        <v>161</v>
      </c>
      <c r="AB22" s="163" t="s">
        <v>160</v>
      </c>
      <c r="AC22" s="163" t="s">
        <v>160</v>
      </c>
      <c r="AD22" s="163" t="s">
        <v>161</v>
      </c>
      <c r="AE22" s="163" t="s">
        <v>161</v>
      </c>
      <c r="AF22" s="163" t="s">
        <v>161</v>
      </c>
      <c r="AG22" s="163" t="s">
        <v>161</v>
      </c>
      <c r="AH22" s="163" t="s">
        <v>161</v>
      </c>
      <c r="AI22" s="164" t="s">
        <v>160</v>
      </c>
      <c r="AK22" s="149"/>
      <c r="AL22" s="34"/>
      <c r="AM22" s="34"/>
      <c r="AN22" s="34"/>
      <c r="AO22" s="34"/>
      <c r="AP22" s="34"/>
      <c r="AQ22" s="34"/>
      <c r="AR22" s="34"/>
    </row>
    <row r="23" spans="1:44" x14ac:dyDescent="0.25">
      <c r="A23" s="42">
        <v>18</v>
      </c>
      <c r="B23" s="42" t="s">
        <v>47</v>
      </c>
      <c r="C23" s="13" t="s">
        <v>217</v>
      </c>
      <c r="D23" s="14" t="s">
        <v>162</v>
      </c>
      <c r="E23" s="15">
        <v>15.782999999999999</v>
      </c>
      <c r="F23" s="16">
        <v>80.707504</v>
      </c>
      <c r="G23" s="17">
        <v>0.1</v>
      </c>
      <c r="H23" s="49" t="str">
        <v>std1[400]_progen#62008</v>
      </c>
      <c r="I23" s="18"/>
      <c r="J23" s="19">
        <v>8</v>
      </c>
      <c r="K23" s="52" t="str">
        <v>1</v>
      </c>
      <c r="L23" s="52">
        <v>1</v>
      </c>
      <c r="M23" s="52">
        <v>0</v>
      </c>
      <c r="N23" s="52">
        <v>0</v>
      </c>
      <c r="O23" s="52">
        <v>0</v>
      </c>
      <c r="P23" s="19">
        <v>1</v>
      </c>
      <c r="Q23" s="55">
        <f t="shared" ca="1" si="0"/>
        <v>411.35407739488812</v>
      </c>
      <c r="R23" s="55">
        <f t="shared" ca="1" si="1"/>
        <v>413.90826427818718</v>
      </c>
      <c r="S23" s="55">
        <f t="shared" ca="1" si="2"/>
        <v>1.0283851934872204</v>
      </c>
      <c r="T23" s="19">
        <v>0</v>
      </c>
      <c r="U23" s="20"/>
      <c r="W23" s="61" t="s">
        <v>34</v>
      </c>
      <c r="X23" s="163" t="s">
        <v>161</v>
      </c>
      <c r="Y23" s="163" t="s">
        <v>161</v>
      </c>
      <c r="Z23" s="163" t="s">
        <v>161</v>
      </c>
      <c r="AA23" s="163" t="s">
        <v>161</v>
      </c>
      <c r="AB23" s="163" t="s">
        <v>160</v>
      </c>
      <c r="AC23" s="163" t="s">
        <v>160</v>
      </c>
      <c r="AD23" s="163" t="s">
        <v>161</v>
      </c>
      <c r="AE23" s="163" t="s">
        <v>161</v>
      </c>
      <c r="AF23" s="163" t="s">
        <v>161</v>
      </c>
      <c r="AG23" s="163" t="s">
        <v>161</v>
      </c>
      <c r="AH23" s="163" t="s">
        <v>161</v>
      </c>
      <c r="AI23" s="164" t="s">
        <v>160</v>
      </c>
      <c r="AK23" s="151"/>
      <c r="AL23" s="34"/>
      <c r="AM23" s="34"/>
      <c r="AN23" s="34"/>
      <c r="AO23" s="34"/>
      <c r="AP23" s="34"/>
      <c r="AQ23" s="34"/>
      <c r="AR23" s="34"/>
    </row>
    <row r="24" spans="1:44" x14ac:dyDescent="0.25">
      <c r="A24" s="42">
        <v>19</v>
      </c>
      <c r="B24" s="42" t="s">
        <v>48</v>
      </c>
      <c r="C24" s="13" t="s">
        <v>216</v>
      </c>
      <c r="D24" s="14" t="s">
        <v>162</v>
      </c>
      <c r="E24" s="15">
        <v>24.158999999999999</v>
      </c>
      <c r="F24" s="16">
        <v>80.707504</v>
      </c>
      <c r="G24" s="17">
        <v>0.1</v>
      </c>
      <c r="H24" s="49" t="str">
        <v>NFL-173</v>
      </c>
      <c r="I24" s="18"/>
      <c r="J24" s="19">
        <v>9</v>
      </c>
      <c r="K24" s="52" t="str">
        <v>10</v>
      </c>
      <c r="L24" s="52">
        <v>1</v>
      </c>
      <c r="M24" s="52">
        <v>0</v>
      </c>
      <c r="N24" s="52">
        <v>0</v>
      </c>
      <c r="O24" s="52">
        <v>0</v>
      </c>
      <c r="P24" s="19">
        <v>1</v>
      </c>
      <c r="Q24" s="55">
        <f t="shared" ca="1" si="0"/>
        <v>13.182823885916871</v>
      </c>
      <c r="R24" s="55">
        <f t="shared" ca="1" si="1"/>
        <v>13.21907920091793</v>
      </c>
      <c r="S24" s="55" t="str">
        <f t="shared" ca="1" si="2"/>
        <v/>
      </c>
      <c r="T24" s="19">
        <v>0</v>
      </c>
      <c r="U24" s="20"/>
      <c r="W24" s="64" t="s">
        <v>36</v>
      </c>
      <c r="X24" s="140" t="s">
        <v>161</v>
      </c>
      <c r="Y24" s="140" t="s">
        <v>161</v>
      </c>
      <c r="Z24" s="140" t="s">
        <v>161</v>
      </c>
      <c r="AA24" s="140" t="s">
        <v>161</v>
      </c>
      <c r="AB24" s="140" t="s">
        <v>160</v>
      </c>
      <c r="AC24" s="140" t="s">
        <v>160</v>
      </c>
      <c r="AD24" s="140" t="s">
        <v>161</v>
      </c>
      <c r="AE24" s="140" t="s">
        <v>161</v>
      </c>
      <c r="AF24" s="140" t="s">
        <v>161</v>
      </c>
      <c r="AG24" s="140" t="s">
        <v>161</v>
      </c>
      <c r="AH24" s="140" t="s">
        <v>161</v>
      </c>
      <c r="AI24" s="165" t="s">
        <v>160</v>
      </c>
      <c r="AK24" s="151"/>
      <c r="AL24" s="34"/>
      <c r="AM24" s="34"/>
      <c r="AN24" s="34"/>
      <c r="AO24" s="34"/>
      <c r="AP24" s="34"/>
      <c r="AQ24" s="34"/>
      <c r="AR24" s="34"/>
    </row>
    <row r="25" spans="1:44" x14ac:dyDescent="0.25">
      <c r="A25" s="42">
        <v>20</v>
      </c>
      <c r="B25" s="42" t="s">
        <v>49</v>
      </c>
      <c r="C25" s="13" t="s">
        <v>216</v>
      </c>
      <c r="D25" s="14" t="s">
        <v>162</v>
      </c>
      <c r="E25" s="15">
        <v>24.151</v>
      </c>
      <c r="F25" s="16">
        <v>80.707504</v>
      </c>
      <c r="G25" s="17">
        <v>0.1</v>
      </c>
      <c r="H25" s="49" t="str">
        <v>NFL-173</v>
      </c>
      <c r="I25" s="18"/>
      <c r="J25" s="19">
        <v>9</v>
      </c>
      <c r="K25" s="52" t="str">
        <v>10</v>
      </c>
      <c r="L25" s="52">
        <v>1</v>
      </c>
      <c r="M25" s="52">
        <v>0</v>
      </c>
      <c r="N25" s="52">
        <v>0</v>
      </c>
      <c r="O25" s="52">
        <v>0</v>
      </c>
      <c r="P25" s="19">
        <v>1</v>
      </c>
      <c r="Q25" s="55">
        <f t="shared" ca="1" si="0"/>
        <v>13.255334515918989</v>
      </c>
      <c r="R25" s="55">
        <f t="shared" ca="1" si="1"/>
        <v>13.21907920091793</v>
      </c>
      <c r="S25" s="55" t="str">
        <f t="shared" ca="1" si="2"/>
        <v/>
      </c>
      <c r="T25" s="19">
        <v>0</v>
      </c>
      <c r="U25" s="20"/>
      <c r="W25" s="120" t="s">
        <v>142</v>
      </c>
      <c r="X25" s="122"/>
      <c r="Y25" s="3" t="s">
        <v>201</v>
      </c>
      <c r="Z25" s="124"/>
      <c r="AA25" s="124"/>
      <c r="AB25" s="124"/>
      <c r="AC25" s="124"/>
      <c r="AD25" s="124"/>
      <c r="AE25" s="124"/>
      <c r="AF25" s="124"/>
      <c r="AG25" s="124"/>
      <c r="AH25" s="124"/>
      <c r="AI25" s="125"/>
      <c r="AK25" s="151"/>
      <c r="AL25" s="34"/>
      <c r="AM25" s="34"/>
      <c r="AN25" s="34"/>
      <c r="AO25" s="34"/>
      <c r="AP25" s="34"/>
      <c r="AQ25" s="34"/>
      <c r="AR25" s="34"/>
    </row>
    <row r="26" spans="1:44" x14ac:dyDescent="0.25">
      <c r="A26" s="42">
        <v>21</v>
      </c>
      <c r="B26" s="42" t="s">
        <v>50</v>
      </c>
      <c r="C26" s="13" t="s">
        <v>216</v>
      </c>
      <c r="D26" s="14" t="s">
        <v>162</v>
      </c>
      <c r="E26" s="15">
        <v>25.364000000000001</v>
      </c>
      <c r="F26" s="16">
        <v>80.707504</v>
      </c>
      <c r="G26" s="17">
        <v>0.1</v>
      </c>
      <c r="H26" s="49" t="str">
        <v>NFL-181</v>
      </c>
      <c r="I26" s="18"/>
      <c r="J26" s="19">
        <v>10</v>
      </c>
      <c r="K26" s="52" t="str">
        <v>10</v>
      </c>
      <c r="L26" s="52">
        <v>1</v>
      </c>
      <c r="M26" s="52">
        <v>0</v>
      </c>
      <c r="N26" s="52">
        <v>0</v>
      </c>
      <c r="O26" s="52">
        <v>0</v>
      </c>
      <c r="P26" s="19">
        <v>1</v>
      </c>
      <c r="Q26" s="55">
        <f t="shared" ca="1" si="0"/>
        <v>5.7700988264320818</v>
      </c>
      <c r="R26" s="55">
        <f t="shared" ca="1" si="1"/>
        <v>5.7464581106762509</v>
      </c>
      <c r="S26" s="55" t="str">
        <f t="shared" ca="1" si="2"/>
        <v/>
      </c>
      <c r="T26" s="19">
        <v>0</v>
      </c>
      <c r="U26" s="20"/>
      <c r="W26" s="120" t="s">
        <v>143</v>
      </c>
      <c r="X26" s="122"/>
      <c r="Z26" s="124"/>
      <c r="AA26" s="124"/>
      <c r="AB26" s="124"/>
      <c r="AC26" s="124"/>
      <c r="AD26" s="124"/>
      <c r="AE26" s="124"/>
      <c r="AF26" s="124"/>
      <c r="AG26" s="124"/>
      <c r="AH26" s="124"/>
      <c r="AI26" s="125"/>
      <c r="AK26" s="151"/>
      <c r="AL26" s="34"/>
      <c r="AM26" s="34"/>
      <c r="AN26" s="34"/>
      <c r="AO26" s="34"/>
      <c r="AP26" s="34"/>
      <c r="AQ26" s="34"/>
      <c r="AR26" s="34"/>
    </row>
    <row r="27" spans="1:44" x14ac:dyDescent="0.25">
      <c r="A27" s="42">
        <v>22</v>
      </c>
      <c r="B27" s="42" t="s">
        <v>51</v>
      </c>
      <c r="C27" s="13" t="s">
        <v>216</v>
      </c>
      <c r="D27" s="14" t="s">
        <v>162</v>
      </c>
      <c r="E27" s="15">
        <v>25.376000000000001</v>
      </c>
      <c r="F27" s="16">
        <v>80.707504</v>
      </c>
      <c r="G27" s="17">
        <v>0.1</v>
      </c>
      <c r="H27" s="49" t="str">
        <v>NFL-181</v>
      </c>
      <c r="I27" s="18"/>
      <c r="J27" s="19">
        <v>10</v>
      </c>
      <c r="K27" s="52" t="str">
        <v>10</v>
      </c>
      <c r="L27" s="52">
        <v>1</v>
      </c>
      <c r="M27" s="52">
        <v>0</v>
      </c>
      <c r="N27" s="52">
        <v>0</v>
      </c>
      <c r="O27" s="52">
        <v>0</v>
      </c>
      <c r="P27" s="19">
        <v>1</v>
      </c>
      <c r="Q27" s="55">
        <f t="shared" ca="1" si="0"/>
        <v>5.7228173949204209</v>
      </c>
      <c r="R27" s="55">
        <f t="shared" ca="1" si="1"/>
        <v>5.7464581106762509</v>
      </c>
      <c r="S27" s="55" t="str">
        <f t="shared" ca="1" si="2"/>
        <v/>
      </c>
      <c r="T27" s="19">
        <v>0</v>
      </c>
      <c r="U27" s="20"/>
      <c r="W27" s="120" t="s">
        <v>144</v>
      </c>
      <c r="X27" s="122"/>
      <c r="Z27" s="124"/>
      <c r="AA27" s="124"/>
      <c r="AB27" s="124"/>
      <c r="AC27" s="124"/>
      <c r="AD27" s="124"/>
      <c r="AE27" s="124"/>
      <c r="AF27" s="124"/>
      <c r="AG27" s="124"/>
      <c r="AH27" s="124"/>
      <c r="AI27" s="125"/>
      <c r="AK27" s="151"/>
      <c r="AL27" s="34"/>
      <c r="AM27" s="34"/>
      <c r="AN27" s="34"/>
      <c r="AO27" s="34"/>
      <c r="AP27" s="34"/>
      <c r="AQ27" s="34"/>
      <c r="AR27" s="34"/>
    </row>
    <row r="28" spans="1:44" x14ac:dyDescent="0.25">
      <c r="A28" s="42">
        <v>23</v>
      </c>
      <c r="B28" s="42" t="s">
        <v>52</v>
      </c>
      <c r="C28" s="13" t="s">
        <v>216</v>
      </c>
      <c r="D28" s="14" t="s">
        <v>162</v>
      </c>
      <c r="E28" s="15">
        <v>25.896999999999998</v>
      </c>
      <c r="F28" s="16">
        <v>80.707504</v>
      </c>
      <c r="G28" s="17">
        <v>0.1</v>
      </c>
      <c r="H28" s="49" t="str">
        <v>NFL-188</v>
      </c>
      <c r="I28" s="18"/>
      <c r="J28" s="19">
        <v>41</v>
      </c>
      <c r="K28" s="52" t="str">
        <v>10</v>
      </c>
      <c r="L28" s="52">
        <v>1</v>
      </c>
      <c r="M28" s="52">
        <v>0</v>
      </c>
      <c r="N28" s="52">
        <v>0</v>
      </c>
      <c r="O28" s="52">
        <v>0</v>
      </c>
      <c r="P28" s="19">
        <v>1</v>
      </c>
      <c r="Q28" s="55">
        <f t="shared" ca="1" si="0"/>
        <v>4.0037447243243331</v>
      </c>
      <c r="R28" s="55">
        <f t="shared" ca="1" si="1"/>
        <v>6.5101244992437994</v>
      </c>
      <c r="S28" s="55" t="str">
        <f t="shared" ca="1" si="2"/>
        <v/>
      </c>
      <c r="T28" s="19">
        <v>0</v>
      </c>
      <c r="U28" s="20"/>
      <c r="W28" s="121" t="s">
        <v>145</v>
      </c>
      <c r="X28" s="123"/>
      <c r="Y28" s="29"/>
      <c r="Z28" s="126"/>
      <c r="AA28" s="126"/>
      <c r="AB28" s="126"/>
      <c r="AC28" s="126"/>
      <c r="AD28" s="126"/>
      <c r="AE28" s="126"/>
      <c r="AF28" s="126"/>
      <c r="AG28" s="126"/>
      <c r="AH28" s="126"/>
      <c r="AI28" s="127"/>
      <c r="AK28" s="151"/>
      <c r="AL28" s="34"/>
      <c r="AM28" s="34"/>
      <c r="AN28" s="34"/>
      <c r="AO28" s="34"/>
      <c r="AP28" s="34"/>
      <c r="AQ28" s="34"/>
      <c r="AR28" s="34"/>
    </row>
    <row r="29" spans="1:44" x14ac:dyDescent="0.25">
      <c r="A29" s="42">
        <v>24</v>
      </c>
      <c r="B29" s="43" t="s">
        <v>53</v>
      </c>
      <c r="C29" s="21" t="s">
        <v>218</v>
      </c>
      <c r="D29" s="22" t="s">
        <v>162</v>
      </c>
      <c r="E29" s="23" t="s">
        <v>164</v>
      </c>
      <c r="F29" s="24">
        <v>0</v>
      </c>
      <c r="G29" s="25">
        <v>0.1</v>
      </c>
      <c r="H29" s="50" t="str">
        <v>unused</v>
      </c>
      <c r="I29" s="26"/>
      <c r="J29" s="27">
        <v>45</v>
      </c>
      <c r="K29" s="53" t="str">
        <v>1</v>
      </c>
      <c r="L29" s="53">
        <v>1</v>
      </c>
      <c r="M29" s="53">
        <v>0</v>
      </c>
      <c r="N29" s="53">
        <v>0</v>
      </c>
      <c r="O29" s="53">
        <v>0</v>
      </c>
      <c r="P29" s="27">
        <v>1</v>
      </c>
      <c r="Q29" s="56" t="str">
        <f t="shared" si="0"/>
        <v/>
      </c>
      <c r="R29" s="56" t="str">
        <f t="shared" si="1"/>
        <v/>
      </c>
      <c r="S29" s="56" t="str">
        <f t="shared" si="2"/>
        <v/>
      </c>
      <c r="T29" s="27">
        <v>1</v>
      </c>
      <c r="U29" s="28"/>
      <c r="AK29" s="151"/>
      <c r="AL29" s="34"/>
      <c r="AM29" s="34"/>
      <c r="AN29" s="34"/>
      <c r="AO29" s="34"/>
      <c r="AP29" s="34"/>
      <c r="AQ29" s="34"/>
      <c r="AR29" s="34"/>
    </row>
    <row r="30" spans="1:44" x14ac:dyDescent="0.25">
      <c r="A30" s="41">
        <v>25</v>
      </c>
      <c r="B30" s="42" t="s">
        <v>54</v>
      </c>
      <c r="C30" s="13" t="s">
        <v>215</v>
      </c>
      <c r="D30" s="14" t="s">
        <v>162</v>
      </c>
      <c r="E30" s="15">
        <v>23.672999999999998</v>
      </c>
      <c r="F30" s="16">
        <v>80.956289999999996</v>
      </c>
      <c r="G30" s="17">
        <v>0.1</v>
      </c>
      <c r="H30" s="49" t="str" cm="1">
        <f t="array" ref="H30:H41">TRANSPOSE(X8:AI8)</f>
        <v>NFL-QC-M</v>
      </c>
      <c r="I30" s="18"/>
      <c r="J30" s="19">
        <v>11</v>
      </c>
      <c r="K30" s="52" t="str" cm="1">
        <f t="array" ref="K30:K41">TRANSPOSE(RIGHT(LEFT(X19:AI19,FIND(";",X19:AI19)-1),LEN(LEFT(X19:AI19,FIND(";",X19:AI19)-1))-1))</f>
        <v>10</v>
      </c>
      <c r="L30" s="52" cm="1">
        <f t="array" ref="L30:L41">TRANSPOSE(IF(ISNUMBER(SEARCH("v1",X19:AI19)),1,0))</f>
        <v>1</v>
      </c>
      <c r="M30" s="52" cm="1">
        <f t="array" ref="M30:M41">TRANSPOSE(IF(ISNUMBER(SEARCH("v2",X19:AI19)),1,0))</f>
        <v>0</v>
      </c>
      <c r="N30" s="52" cm="1">
        <f t="array" ref="N30:N41">TRANSPOSE(IF(ISNUMBER(SEARCH("v3",X19:AI19)),1,0))</f>
        <v>0</v>
      </c>
      <c r="O30" s="52" cm="1">
        <f t="array" ref="O30:O41">TRANSPOSE(IF(ISNUMBER(SEARCH("v4",X19:AI19)),1,0))</f>
        <v>0</v>
      </c>
      <c r="P30" s="19">
        <v>1</v>
      </c>
      <c r="Q30" s="55">
        <f t="shared" ca="1" si="0"/>
        <v>18.396264732621415</v>
      </c>
      <c r="R30" s="55">
        <f t="shared" ca="1" si="1"/>
        <v>19.015358132921037</v>
      </c>
      <c r="S30" s="55" t="str">
        <f t="shared" ca="1" si="2"/>
        <v/>
      </c>
      <c r="T30" s="19">
        <v>0</v>
      </c>
      <c r="U30" s="20"/>
      <c r="W30" s="57" t="s">
        <v>55</v>
      </c>
      <c r="AK30" s="151"/>
      <c r="AL30" s="34"/>
      <c r="AM30" s="34"/>
      <c r="AN30" s="34"/>
      <c r="AO30" s="34"/>
      <c r="AP30" s="34"/>
      <c r="AQ30" s="34"/>
      <c r="AR30" s="34"/>
    </row>
    <row r="31" spans="1:44" x14ac:dyDescent="0.25">
      <c r="A31" s="42">
        <v>26</v>
      </c>
      <c r="B31" s="42" t="s">
        <v>56</v>
      </c>
      <c r="C31" s="13" t="s">
        <v>215</v>
      </c>
      <c r="D31" s="14" t="s">
        <v>162</v>
      </c>
      <c r="E31" s="15">
        <v>23.577999999999999</v>
      </c>
      <c r="F31" s="16">
        <v>80.707504</v>
      </c>
      <c r="G31" s="17">
        <v>0.1</v>
      </c>
      <c r="H31" s="49" t="str">
        <v>NFL-QC-M</v>
      </c>
      <c r="I31" s="18"/>
      <c r="J31" s="19">
        <v>11</v>
      </c>
      <c r="K31" s="52" t="str">
        <v>10</v>
      </c>
      <c r="L31" s="52">
        <v>1</v>
      </c>
      <c r="M31" s="52">
        <v>0</v>
      </c>
      <c r="N31" s="52">
        <v>0</v>
      </c>
      <c r="O31" s="52">
        <v>0</v>
      </c>
      <c r="P31" s="19">
        <v>1</v>
      </c>
      <c r="Q31" s="55">
        <f t="shared" ca="1" si="0"/>
        <v>19.634451533220659</v>
      </c>
      <c r="R31" s="55">
        <f t="shared" ca="1" si="1"/>
        <v>19.015358132921037</v>
      </c>
      <c r="S31" s="55" t="str">
        <f t="shared" ca="1" si="2"/>
        <v/>
      </c>
      <c r="T31" s="19">
        <v>0</v>
      </c>
      <c r="U31" s="20"/>
      <c r="W31" s="58" t="s">
        <v>57</v>
      </c>
      <c r="X31" s="59">
        <v>1</v>
      </c>
      <c r="Y31" s="59">
        <v>2</v>
      </c>
      <c r="Z31" s="58">
        <v>3</v>
      </c>
      <c r="AA31" s="60">
        <v>4</v>
      </c>
      <c r="AB31" s="59">
        <v>5</v>
      </c>
      <c r="AC31" s="59">
        <v>6</v>
      </c>
      <c r="AD31" s="58">
        <v>7</v>
      </c>
      <c r="AE31" s="60">
        <v>8</v>
      </c>
      <c r="AF31" s="59">
        <v>9</v>
      </c>
      <c r="AG31" s="59">
        <v>10</v>
      </c>
      <c r="AH31" s="58">
        <v>11</v>
      </c>
      <c r="AI31" s="60">
        <v>12</v>
      </c>
      <c r="AK31" s="152"/>
      <c r="AL31" s="153"/>
      <c r="AM31" s="153"/>
      <c r="AN31" s="153"/>
      <c r="AO31" s="153"/>
      <c r="AP31" s="153"/>
      <c r="AQ31" s="34"/>
      <c r="AR31" s="34"/>
    </row>
    <row r="32" spans="1:44" x14ac:dyDescent="0.25">
      <c r="A32" s="42">
        <v>27</v>
      </c>
      <c r="B32" s="42" t="s">
        <v>58</v>
      </c>
      <c r="C32" s="13" t="s">
        <v>216</v>
      </c>
      <c r="D32" s="14" t="s">
        <v>162</v>
      </c>
      <c r="E32" s="15">
        <v>22.611999999999998</v>
      </c>
      <c r="F32" s="16">
        <v>80.707504</v>
      </c>
      <c r="G32" s="17">
        <v>0.1</v>
      </c>
      <c r="H32" s="49" t="str">
        <v>NFL-166</v>
      </c>
      <c r="I32" s="18"/>
      <c r="J32" s="19">
        <v>12</v>
      </c>
      <c r="K32" s="52" t="str">
        <v>10</v>
      </c>
      <c r="L32" s="52">
        <v>1</v>
      </c>
      <c r="M32" s="52">
        <v>0</v>
      </c>
      <c r="N32" s="52">
        <v>0</v>
      </c>
      <c r="O32" s="52">
        <v>0</v>
      </c>
      <c r="P32" s="19">
        <v>1</v>
      </c>
      <c r="Q32" s="55">
        <f t="shared" ca="1" si="0"/>
        <v>38.078031928657118</v>
      </c>
      <c r="R32" s="55">
        <f t="shared" ca="1" si="1"/>
        <v>37.32319492510188</v>
      </c>
      <c r="S32" s="55" t="str">
        <f t="shared" ca="1" si="2"/>
        <v/>
      </c>
      <c r="T32" s="19">
        <v>0</v>
      </c>
      <c r="U32" s="20"/>
      <c r="W32" s="61" t="s">
        <v>22</v>
      </c>
      <c r="X32" s="110" cm="1">
        <f t="array" ref="X32:AI32">TRANSPOSE(E6:E17)</f>
        <v>21.27</v>
      </c>
      <c r="Y32" s="111">
        <v>21.879000000000001</v>
      </c>
      <c r="Z32" s="111">
        <v>21.475000000000001</v>
      </c>
      <c r="AA32" s="111">
        <v>21.466000000000001</v>
      </c>
      <c r="AB32" s="111">
        <v>13.430999999999999</v>
      </c>
      <c r="AC32" s="111">
        <v>13.622</v>
      </c>
      <c r="AD32" s="111">
        <v>24.148</v>
      </c>
      <c r="AE32" s="111">
        <v>24.302</v>
      </c>
      <c r="AF32" s="111">
        <v>24.309000000000001</v>
      </c>
      <c r="AG32" s="111">
        <v>24.300999999999998</v>
      </c>
      <c r="AH32" s="111">
        <v>24.713000000000001</v>
      </c>
      <c r="AI32" s="112" t="str">
        <v>Undetermined</v>
      </c>
      <c r="AK32" s="151"/>
      <c r="AL32" s="34"/>
      <c r="AM32" s="34"/>
      <c r="AN32" s="34"/>
      <c r="AO32" s="153"/>
      <c r="AP32" s="153"/>
      <c r="AQ32" s="34"/>
      <c r="AR32" s="34"/>
    </row>
    <row r="33" spans="1:44" x14ac:dyDescent="0.25">
      <c r="A33" s="42">
        <v>28</v>
      </c>
      <c r="B33" s="42" t="s">
        <v>59</v>
      </c>
      <c r="C33" s="13" t="s">
        <v>216</v>
      </c>
      <c r="D33" s="14" t="s">
        <v>162</v>
      </c>
      <c r="E33" s="15">
        <v>22.670999999999999</v>
      </c>
      <c r="F33" s="16">
        <v>80.707504</v>
      </c>
      <c r="G33" s="17">
        <v>0.1</v>
      </c>
      <c r="H33" s="49" t="str">
        <v>NFL-166</v>
      </c>
      <c r="I33" s="18"/>
      <c r="J33" s="19">
        <v>12</v>
      </c>
      <c r="K33" s="52" t="str">
        <v>10</v>
      </c>
      <c r="L33" s="52">
        <v>1</v>
      </c>
      <c r="M33" s="52">
        <v>0</v>
      </c>
      <c r="N33" s="52">
        <v>0</v>
      </c>
      <c r="O33" s="52">
        <v>0</v>
      </c>
      <c r="P33" s="19">
        <v>1</v>
      </c>
      <c r="Q33" s="55">
        <f t="shared" ca="1" si="0"/>
        <v>36.568357921546642</v>
      </c>
      <c r="R33" s="55">
        <f t="shared" ca="1" si="1"/>
        <v>37.32319492510188</v>
      </c>
      <c r="S33" s="55" t="str">
        <f t="shared" ca="1" si="2"/>
        <v/>
      </c>
      <c r="T33" s="19">
        <v>0</v>
      </c>
      <c r="U33" s="20"/>
      <c r="W33" s="97" t="s">
        <v>24</v>
      </c>
      <c r="X33" s="113" cm="1">
        <f t="array" ref="X33:AI33">TRANSPOSE(E18:E29)</f>
        <v>25.375</v>
      </c>
      <c r="Y33" s="114">
        <v>25.347000000000001</v>
      </c>
      <c r="Z33" s="114">
        <v>23.881</v>
      </c>
      <c r="AA33" s="114">
        <v>23.812999999999999</v>
      </c>
      <c r="AB33" s="114">
        <v>15.765000000000001</v>
      </c>
      <c r="AC33" s="114">
        <v>15.782999999999999</v>
      </c>
      <c r="AD33" s="114">
        <v>24.158999999999999</v>
      </c>
      <c r="AE33" s="114">
        <v>24.151</v>
      </c>
      <c r="AF33" s="114">
        <v>25.364000000000001</v>
      </c>
      <c r="AG33" s="114">
        <v>25.376000000000001</v>
      </c>
      <c r="AH33" s="114">
        <v>25.896999999999998</v>
      </c>
      <c r="AI33" s="115" t="str">
        <v>Undetermined</v>
      </c>
      <c r="AK33" s="152"/>
      <c r="AL33" s="153"/>
      <c r="AM33" s="153"/>
      <c r="AN33" s="153"/>
      <c r="AO33" s="153"/>
      <c r="AP33" s="153"/>
      <c r="AQ33" s="34"/>
      <c r="AR33" s="34"/>
    </row>
    <row r="34" spans="1:44" x14ac:dyDescent="0.25">
      <c r="A34" s="42">
        <v>29</v>
      </c>
      <c r="B34" s="42" t="s">
        <v>60</v>
      </c>
      <c r="C34" s="13" t="s">
        <v>217</v>
      </c>
      <c r="D34" s="14" t="s">
        <v>162</v>
      </c>
      <c r="E34" s="15">
        <v>18.303000000000001</v>
      </c>
      <c r="F34" s="16">
        <v>80.707504</v>
      </c>
      <c r="G34" s="17">
        <v>0.1</v>
      </c>
      <c r="H34" s="49" t="str">
        <v>std1[80]_progen#62008</v>
      </c>
      <c r="I34" s="18"/>
      <c r="J34" s="19">
        <v>13</v>
      </c>
      <c r="K34" s="52" t="str">
        <v>1</v>
      </c>
      <c r="L34" s="52">
        <v>1</v>
      </c>
      <c r="M34" s="52">
        <v>0</v>
      </c>
      <c r="N34" s="52">
        <v>0</v>
      </c>
      <c r="O34" s="52">
        <v>0</v>
      </c>
      <c r="P34" s="19">
        <v>1</v>
      </c>
      <c r="Q34" s="55">
        <f t="shared" ca="1" si="0"/>
        <v>73.081858280595426</v>
      </c>
      <c r="R34" s="55">
        <f t="shared" ca="1" si="1"/>
        <v>80.123125174331733</v>
      </c>
      <c r="S34" s="55">
        <f t="shared" ca="1" si="2"/>
        <v>0.91352322850744283</v>
      </c>
      <c r="T34" s="19">
        <v>0</v>
      </c>
      <c r="U34" s="20"/>
      <c r="W34" s="61" t="s">
        <v>26</v>
      </c>
      <c r="X34" s="113" cm="1">
        <f t="array" ref="X34:AI34">TRANSPOSE(E30:E41)</f>
        <v>23.672999999999998</v>
      </c>
      <c r="Y34" s="114">
        <v>23.577999999999999</v>
      </c>
      <c r="Z34" s="114">
        <v>22.611999999999998</v>
      </c>
      <c r="AA34" s="114">
        <v>22.670999999999999</v>
      </c>
      <c r="AB34" s="114">
        <v>18.303000000000001</v>
      </c>
      <c r="AC34" s="114">
        <v>18.045999999999999</v>
      </c>
      <c r="AD34" s="114">
        <v>24.056000000000001</v>
      </c>
      <c r="AE34" s="114">
        <v>24.073</v>
      </c>
      <c r="AF34" s="114">
        <v>25.183</v>
      </c>
      <c r="AG34" s="114">
        <v>25.309000000000001</v>
      </c>
      <c r="AH34" s="114">
        <v>24.561</v>
      </c>
      <c r="AI34" s="115" t="str">
        <v>Undetermined</v>
      </c>
      <c r="AK34" s="151"/>
      <c r="AL34" s="153"/>
      <c r="AM34" s="153"/>
      <c r="AN34" s="153"/>
      <c r="AO34" s="153"/>
      <c r="AP34" s="153"/>
      <c r="AQ34" s="34"/>
      <c r="AR34" s="34"/>
    </row>
    <row r="35" spans="1:44" x14ac:dyDescent="0.25">
      <c r="A35" s="42">
        <v>30</v>
      </c>
      <c r="B35" s="42" t="s">
        <v>61</v>
      </c>
      <c r="C35" s="13" t="s">
        <v>217</v>
      </c>
      <c r="D35" s="14" t="s">
        <v>162</v>
      </c>
      <c r="E35" s="15">
        <v>18.045999999999999</v>
      </c>
      <c r="F35" s="16">
        <v>80.707504</v>
      </c>
      <c r="G35" s="17">
        <v>0.1</v>
      </c>
      <c r="H35" s="49" t="str">
        <v>std1[80]_progen#62008</v>
      </c>
      <c r="I35" s="18"/>
      <c r="J35" s="19">
        <v>13</v>
      </c>
      <c r="K35" s="52" t="str">
        <v>1</v>
      </c>
      <c r="L35" s="52">
        <v>1</v>
      </c>
      <c r="M35" s="52">
        <v>0</v>
      </c>
      <c r="N35" s="52">
        <v>0</v>
      </c>
      <c r="O35" s="52">
        <v>0</v>
      </c>
      <c r="P35" s="19">
        <v>1</v>
      </c>
      <c r="Q35" s="55">
        <f t="shared" ca="1" si="0"/>
        <v>87.16439206806804</v>
      </c>
      <c r="R35" s="55">
        <f t="shared" ca="1" si="1"/>
        <v>80.123125174331733</v>
      </c>
      <c r="S35" s="55">
        <f t="shared" ca="1" si="2"/>
        <v>1.0895549008508505</v>
      </c>
      <c r="T35" s="19">
        <v>0</v>
      </c>
      <c r="U35" s="20"/>
      <c r="W35" s="97" t="s">
        <v>28</v>
      </c>
      <c r="X35" s="113" cm="1">
        <f t="array" ref="X35:AI35">TRANSPOSE(E42:E53)</f>
        <v>25.425000000000001</v>
      </c>
      <c r="Y35" s="114">
        <v>25.302</v>
      </c>
      <c r="Z35" s="114">
        <v>22.402999999999999</v>
      </c>
      <c r="AA35" s="114">
        <v>22.425000000000001</v>
      </c>
      <c r="AB35" s="114">
        <v>20.561</v>
      </c>
      <c r="AC35" s="114">
        <v>20.492000000000001</v>
      </c>
      <c r="AD35" s="114">
        <v>21.234000000000002</v>
      </c>
      <c r="AE35" s="114">
        <v>21.506</v>
      </c>
      <c r="AF35" s="114">
        <v>26.407</v>
      </c>
      <c r="AG35" s="114">
        <v>26.423999999999999</v>
      </c>
      <c r="AH35" s="114">
        <v>24.638999999999999</v>
      </c>
      <c r="AI35" s="115" t="str">
        <v>Undetermined</v>
      </c>
      <c r="AK35" s="151"/>
      <c r="AL35" s="153"/>
      <c r="AM35" s="153"/>
      <c r="AN35" s="153"/>
      <c r="AO35" s="153"/>
      <c r="AP35" s="153"/>
      <c r="AQ35" s="34"/>
      <c r="AR35" s="34"/>
    </row>
    <row r="36" spans="1:44" x14ac:dyDescent="0.25">
      <c r="A36" s="42">
        <v>31</v>
      </c>
      <c r="B36" s="42" t="s">
        <v>62</v>
      </c>
      <c r="C36" s="13" t="s">
        <v>216</v>
      </c>
      <c r="D36" s="14" t="s">
        <v>162</v>
      </c>
      <c r="E36" s="15">
        <v>24.056000000000001</v>
      </c>
      <c r="F36" s="16">
        <v>80.707504</v>
      </c>
      <c r="G36" s="17">
        <v>0.1</v>
      </c>
      <c r="H36" s="49" t="str">
        <v>NFL-174</v>
      </c>
      <c r="I36" s="18"/>
      <c r="J36" s="19">
        <v>14</v>
      </c>
      <c r="K36" s="52" t="str">
        <v>10</v>
      </c>
      <c r="L36" s="52">
        <v>1</v>
      </c>
      <c r="M36" s="52">
        <v>0</v>
      </c>
      <c r="N36" s="52">
        <v>0</v>
      </c>
      <c r="O36" s="52">
        <v>0</v>
      </c>
      <c r="P36" s="19">
        <v>1</v>
      </c>
      <c r="Q36" s="55">
        <f t="shared" ca="1" si="0"/>
        <v>14.147503685785015</v>
      </c>
      <c r="R36" s="55">
        <f t="shared" ca="1" si="1"/>
        <v>14.065528644552369</v>
      </c>
      <c r="S36" s="55" t="str">
        <f t="shared" ca="1" si="2"/>
        <v/>
      </c>
      <c r="T36" s="19">
        <v>0</v>
      </c>
      <c r="U36" s="20"/>
      <c r="W36" s="61" t="s">
        <v>30</v>
      </c>
      <c r="X36" s="113" cm="1">
        <f t="array" ref="X36:AI36">TRANSPOSE(E54:E65)</f>
        <v>25.300999999999998</v>
      </c>
      <c r="Y36" s="114">
        <v>25.215</v>
      </c>
      <c r="Z36" s="114">
        <v>22.084</v>
      </c>
      <c r="AA36" s="114">
        <v>22.074000000000002</v>
      </c>
      <c r="AB36" s="114">
        <v>22.86</v>
      </c>
      <c r="AC36" s="114">
        <v>22.721</v>
      </c>
      <c r="AD36" s="114">
        <v>21.588000000000001</v>
      </c>
      <c r="AE36" s="114">
        <v>21.544</v>
      </c>
      <c r="AF36" s="114">
        <v>22.966000000000001</v>
      </c>
      <c r="AG36" s="114">
        <v>23.08</v>
      </c>
      <c r="AH36" s="114">
        <v>21.302</v>
      </c>
      <c r="AI36" s="115" t="str">
        <v>Undetermined</v>
      </c>
      <c r="AK36" s="151"/>
      <c r="AL36" s="153"/>
      <c r="AM36" s="153"/>
      <c r="AN36" s="153"/>
      <c r="AO36" s="153"/>
      <c r="AP36" s="153"/>
      <c r="AQ36" s="34"/>
      <c r="AR36" s="34"/>
    </row>
    <row r="37" spans="1:44" x14ac:dyDescent="0.25">
      <c r="A37" s="42">
        <v>32</v>
      </c>
      <c r="B37" s="42" t="s">
        <v>63</v>
      </c>
      <c r="C37" s="13" t="s">
        <v>216</v>
      </c>
      <c r="D37" s="14" t="s">
        <v>162</v>
      </c>
      <c r="E37" s="15">
        <v>24.073</v>
      </c>
      <c r="F37" s="16">
        <v>80.707504</v>
      </c>
      <c r="G37" s="17">
        <v>0.1</v>
      </c>
      <c r="H37" s="49" t="str">
        <v>NFL-174</v>
      </c>
      <c r="I37" s="18"/>
      <c r="J37" s="19">
        <v>14</v>
      </c>
      <c r="K37" s="52" t="str">
        <v>10</v>
      </c>
      <c r="L37" s="52">
        <v>1</v>
      </c>
      <c r="M37" s="52">
        <v>0</v>
      </c>
      <c r="N37" s="52">
        <v>0</v>
      </c>
      <c r="O37" s="52">
        <v>0</v>
      </c>
      <c r="P37" s="19">
        <v>1</v>
      </c>
      <c r="Q37" s="55">
        <f t="shared" ca="1" si="0"/>
        <v>13.983553603319725</v>
      </c>
      <c r="R37" s="55">
        <f t="shared" ca="1" si="1"/>
        <v>14.065528644552369</v>
      </c>
      <c r="S37" s="55" t="str">
        <f t="shared" ca="1" si="2"/>
        <v/>
      </c>
      <c r="T37" s="19">
        <v>0</v>
      </c>
      <c r="U37" s="20"/>
      <c r="W37" s="97" t="s">
        <v>32</v>
      </c>
      <c r="X37" s="113" cm="1">
        <f t="array" ref="X37:AI37">TRANSPOSE(E66:E77)</f>
        <v>24.081</v>
      </c>
      <c r="Y37" s="114">
        <v>24.183</v>
      </c>
      <c r="Z37" s="114">
        <v>21.696000000000002</v>
      </c>
      <c r="AA37" s="114">
        <v>21.667999999999999</v>
      </c>
      <c r="AB37" s="114">
        <v>25.276</v>
      </c>
      <c r="AC37" s="114">
        <v>25.273</v>
      </c>
      <c r="AD37" s="114">
        <v>24.946999999999999</v>
      </c>
      <c r="AE37" s="114">
        <v>24.759</v>
      </c>
      <c r="AF37" s="114">
        <v>23.712</v>
      </c>
      <c r="AG37" s="114">
        <v>23.63</v>
      </c>
      <c r="AH37" s="114">
        <v>21.302</v>
      </c>
      <c r="AI37" s="115" t="str">
        <v>Undetermined</v>
      </c>
      <c r="AK37" s="151"/>
      <c r="AL37" s="153"/>
      <c r="AM37" s="153"/>
      <c r="AN37" s="153"/>
      <c r="AO37" s="153"/>
      <c r="AP37" s="153"/>
      <c r="AQ37" s="34"/>
      <c r="AR37" s="34"/>
    </row>
    <row r="38" spans="1:44" x14ac:dyDescent="0.25">
      <c r="A38" s="42">
        <v>33</v>
      </c>
      <c r="B38" s="42" t="s">
        <v>64</v>
      </c>
      <c r="C38" s="13" t="s">
        <v>216</v>
      </c>
      <c r="D38" s="14" t="s">
        <v>162</v>
      </c>
      <c r="E38" s="15">
        <v>25.183</v>
      </c>
      <c r="F38" s="16">
        <v>80.707504</v>
      </c>
      <c r="G38" s="17">
        <v>0.1</v>
      </c>
      <c r="H38" s="49" t="str">
        <v>NFL-182</v>
      </c>
      <c r="I38" s="18"/>
      <c r="J38" s="19">
        <v>15</v>
      </c>
      <c r="K38" s="52" t="str">
        <v>10</v>
      </c>
      <c r="L38" s="52">
        <v>1</v>
      </c>
      <c r="M38" s="52">
        <v>0</v>
      </c>
      <c r="N38" s="52">
        <v>0</v>
      </c>
      <c r="O38" s="52">
        <v>0</v>
      </c>
      <c r="P38" s="19">
        <v>1</v>
      </c>
      <c r="Q38" s="55">
        <f t="shared" ca="1" si="0"/>
        <v>6.5325309556768758</v>
      </c>
      <c r="R38" s="55">
        <f t="shared" ca="1" si="1"/>
        <v>6.262192081459121</v>
      </c>
      <c r="S38" s="55" t="str">
        <f t="shared" ref="S38:S69" ca="1" si="3">IFERROR(Q38/MID(H38,FIND("[",H38)+1,FIND("]",H38)-FIND("[",H38)-1),"")</f>
        <v/>
      </c>
      <c r="T38" s="19">
        <v>0</v>
      </c>
      <c r="U38" s="20"/>
      <c r="W38" s="61" t="s">
        <v>34</v>
      </c>
      <c r="X38" s="113" cm="1">
        <f t="array" ref="X38:AI38">TRANSPOSE(E78:E89)</f>
        <v>24.173999999999999</v>
      </c>
      <c r="Y38" s="114">
        <v>24.056000000000001</v>
      </c>
      <c r="Z38" s="114">
        <v>22.603999999999999</v>
      </c>
      <c r="AA38" s="114">
        <v>22.808</v>
      </c>
      <c r="AB38" s="114">
        <v>27.526</v>
      </c>
      <c r="AC38" s="114">
        <v>27.597999999999999</v>
      </c>
      <c r="AD38" s="114">
        <v>24.741</v>
      </c>
      <c r="AE38" s="114">
        <v>24.475000000000001</v>
      </c>
      <c r="AF38" s="114">
        <v>25.7</v>
      </c>
      <c r="AG38" s="114">
        <v>25.637</v>
      </c>
      <c r="AH38" s="114">
        <v>21.471</v>
      </c>
      <c r="AI38" s="115" t="str">
        <v>Undetermined</v>
      </c>
      <c r="AK38" s="151"/>
      <c r="AL38" s="153"/>
      <c r="AM38" s="153"/>
      <c r="AN38" s="153"/>
      <c r="AO38" s="153"/>
      <c r="AP38" s="153"/>
      <c r="AQ38" s="34"/>
      <c r="AR38" s="34"/>
    </row>
    <row r="39" spans="1:44" x14ac:dyDescent="0.25">
      <c r="A39" s="42">
        <v>34</v>
      </c>
      <c r="B39" s="42" t="s">
        <v>65</v>
      </c>
      <c r="C39" s="13" t="s">
        <v>216</v>
      </c>
      <c r="D39" s="14" t="s">
        <v>162</v>
      </c>
      <c r="E39" s="15">
        <v>25.309000000000001</v>
      </c>
      <c r="F39" s="16">
        <v>80.707504</v>
      </c>
      <c r="G39" s="17">
        <v>0.1</v>
      </c>
      <c r="H39" s="49" t="str">
        <v>NFL-182</v>
      </c>
      <c r="I39" s="18"/>
      <c r="J39" s="19">
        <v>15</v>
      </c>
      <c r="K39" s="52" t="str">
        <v>10</v>
      </c>
      <c r="L39" s="52">
        <v>1</v>
      </c>
      <c r="M39" s="52">
        <v>0</v>
      </c>
      <c r="N39" s="52">
        <v>0</v>
      </c>
      <c r="O39" s="52">
        <v>0</v>
      </c>
      <c r="P39" s="19">
        <v>1</v>
      </c>
      <c r="Q39" s="55">
        <f t="shared" ca="1" si="0"/>
        <v>5.9918532072413662</v>
      </c>
      <c r="R39" s="55">
        <f t="shared" ca="1" si="1"/>
        <v>6.262192081459121</v>
      </c>
      <c r="S39" s="55" t="str">
        <f t="shared" ca="1" si="3"/>
        <v/>
      </c>
      <c r="T39" s="19">
        <v>0</v>
      </c>
      <c r="U39" s="20"/>
      <c r="W39" s="97" t="s">
        <v>36</v>
      </c>
      <c r="X39" s="116" cm="1">
        <f t="array" ref="X39:AI39">TRANSPOSE(E90:E101)</f>
        <v>23.667000000000002</v>
      </c>
      <c r="Y39" s="117">
        <v>23.574999999999999</v>
      </c>
      <c r="Z39" s="117">
        <v>22.216000000000001</v>
      </c>
      <c r="AA39" s="117">
        <v>22.263000000000002</v>
      </c>
      <c r="AB39" s="117">
        <v>32.929000000000002</v>
      </c>
      <c r="AC39" s="117">
        <v>32.817</v>
      </c>
      <c r="AD39" s="117">
        <v>24.882000000000001</v>
      </c>
      <c r="AE39" s="117">
        <v>24.937999999999999</v>
      </c>
      <c r="AF39" s="117">
        <v>24.41</v>
      </c>
      <c r="AG39" s="117">
        <v>24.393000000000001</v>
      </c>
      <c r="AH39" s="117">
        <v>21.584</v>
      </c>
      <c r="AI39" s="118" t="str">
        <v>Undetermined</v>
      </c>
      <c r="AK39" s="151"/>
      <c r="AL39" s="153"/>
      <c r="AM39" s="153"/>
      <c r="AN39" s="153"/>
      <c r="AO39" s="153"/>
      <c r="AP39" s="153"/>
      <c r="AQ39" s="34"/>
      <c r="AR39" s="34"/>
    </row>
    <row r="40" spans="1:44" x14ac:dyDescent="0.25">
      <c r="A40" s="42">
        <v>35</v>
      </c>
      <c r="B40" s="42" t="s">
        <v>66</v>
      </c>
      <c r="C40" s="13" t="s">
        <v>216</v>
      </c>
      <c r="D40" s="14" t="s">
        <v>162</v>
      </c>
      <c r="E40" s="15">
        <v>24.561</v>
      </c>
      <c r="F40" s="16">
        <v>80.707504</v>
      </c>
      <c r="G40" s="17">
        <v>0.1</v>
      </c>
      <c r="H40" s="49" t="str">
        <v>NFL-189</v>
      </c>
      <c r="I40" s="18"/>
      <c r="J40" s="19">
        <v>42</v>
      </c>
      <c r="K40" s="52" t="str">
        <v>10</v>
      </c>
      <c r="L40" s="52">
        <v>1</v>
      </c>
      <c r="M40" s="52">
        <v>0</v>
      </c>
      <c r="N40" s="52">
        <v>0</v>
      </c>
      <c r="O40" s="52">
        <v>0</v>
      </c>
      <c r="P40" s="19">
        <v>1</v>
      </c>
      <c r="Q40" s="55">
        <f t="shared" ca="1" si="0"/>
        <v>10.006928357911985</v>
      </c>
      <c r="R40" s="55">
        <f t="shared" ca="1" si="1"/>
        <v>9.7463638246322155</v>
      </c>
      <c r="S40" s="55" t="str">
        <f t="shared" ca="1" si="3"/>
        <v/>
      </c>
      <c r="T40" s="19">
        <v>0</v>
      </c>
      <c r="U40" s="20"/>
      <c r="W40" s="31"/>
      <c r="AK40" s="152"/>
      <c r="AL40" s="153"/>
      <c r="AM40" s="153"/>
      <c r="AN40" s="153"/>
      <c r="AO40" s="153"/>
      <c r="AP40" s="153"/>
      <c r="AQ40" s="34"/>
      <c r="AR40" s="34"/>
    </row>
    <row r="41" spans="1:44" x14ac:dyDescent="0.25">
      <c r="A41" s="43">
        <v>36</v>
      </c>
      <c r="B41" s="42" t="s">
        <v>67</v>
      </c>
      <c r="C41" s="13" t="s">
        <v>218</v>
      </c>
      <c r="D41" s="14" t="s">
        <v>162</v>
      </c>
      <c r="E41" s="15" t="s">
        <v>164</v>
      </c>
      <c r="F41" s="16">
        <v>0</v>
      </c>
      <c r="G41" s="17">
        <v>0.1</v>
      </c>
      <c r="H41" s="49" t="str">
        <v>unused</v>
      </c>
      <c r="I41" s="18"/>
      <c r="J41" s="19">
        <v>45</v>
      </c>
      <c r="K41" s="52" t="str">
        <v>1</v>
      </c>
      <c r="L41" s="52">
        <v>1</v>
      </c>
      <c r="M41" s="52">
        <v>0</v>
      </c>
      <c r="N41" s="52">
        <v>0</v>
      </c>
      <c r="O41" s="52">
        <v>0</v>
      </c>
      <c r="P41" s="19">
        <v>1</v>
      </c>
      <c r="Q41" s="55" t="str">
        <f t="shared" si="0"/>
        <v/>
      </c>
      <c r="R41" s="55" t="str">
        <f t="shared" si="1"/>
        <v/>
      </c>
      <c r="S41" s="55" t="str">
        <f t="shared" si="3"/>
        <v/>
      </c>
      <c r="T41" s="19">
        <v>1</v>
      </c>
      <c r="U41" s="20"/>
      <c r="Y41" s="2"/>
      <c r="Z41" s="32"/>
      <c r="AK41" s="152"/>
      <c r="AL41" s="153"/>
      <c r="AM41" s="153"/>
      <c r="AN41" s="153"/>
      <c r="AO41" s="153"/>
      <c r="AP41" s="153"/>
      <c r="AQ41" s="34"/>
      <c r="AR41" s="34"/>
    </row>
    <row r="42" spans="1:44" x14ac:dyDescent="0.25">
      <c r="A42" s="42">
        <v>37</v>
      </c>
      <c r="B42" s="41" t="s">
        <v>68</v>
      </c>
      <c r="C42" s="5" t="s">
        <v>216</v>
      </c>
      <c r="D42" s="6" t="s">
        <v>162</v>
      </c>
      <c r="E42" s="7">
        <v>25.425000000000001</v>
      </c>
      <c r="F42" s="8">
        <v>80.956289999999996</v>
      </c>
      <c r="G42" s="9">
        <v>0.1</v>
      </c>
      <c r="H42" s="48" t="str" cm="1">
        <f t="array" ref="H42:H53">TRANSPOSE(X9:AI9)</f>
        <v>NFL-159</v>
      </c>
      <c r="I42" s="10"/>
      <c r="J42" s="11">
        <v>16</v>
      </c>
      <c r="K42" s="51" t="str" cm="1">
        <f t="array" ref="K42:K53">TRANSPOSE(RIGHT(LEFT(X20:AI20,FIND(";",X20:AI20)-1),LEN(LEFT(X20:AI20,FIND(";",X20:AI20)-1))-1))</f>
        <v>10</v>
      </c>
      <c r="L42" s="51" cm="1">
        <f t="array" ref="L42:L53">TRANSPOSE(IF(ISNUMBER(SEARCH("v1",X20:AI20)),1,0))</f>
        <v>1</v>
      </c>
      <c r="M42" s="51" cm="1">
        <f t="array" ref="M42:M53">TRANSPOSE(IF(ISNUMBER(SEARCH("v2",X20:AI20)),1,0))</f>
        <v>0</v>
      </c>
      <c r="N42" s="51" cm="1">
        <f t="array" ref="N42:N53">TRANSPOSE(IF(ISNUMBER(SEARCH("v3",X20:AI20)),1,0))</f>
        <v>0</v>
      </c>
      <c r="O42" s="51" cm="1">
        <f t="array" ref="O42:O53">TRANSPOSE(IF(ISNUMBER(SEARCH("v4",X20:AI20)),1,0))</f>
        <v>0</v>
      </c>
      <c r="P42" s="11">
        <v>1</v>
      </c>
      <c r="Q42" s="54">
        <f t="shared" ca="1" si="0"/>
        <v>5.5337388052099588</v>
      </c>
      <c r="R42" s="54">
        <f t="shared" ca="1" si="1"/>
        <v>5.7772099702255337</v>
      </c>
      <c r="S42" s="54" t="str">
        <f t="shared" ca="1" si="3"/>
        <v/>
      </c>
      <c r="T42" s="11">
        <v>0</v>
      </c>
      <c r="U42" s="12"/>
      <c r="W42" s="57" t="s">
        <v>69</v>
      </c>
      <c r="AB42" s="33"/>
      <c r="AC42" s="34"/>
      <c r="AK42" s="152"/>
      <c r="AL42" s="153"/>
      <c r="AM42" s="153"/>
      <c r="AN42" s="153"/>
      <c r="AO42" s="153"/>
      <c r="AP42" s="153"/>
      <c r="AQ42" s="34"/>
      <c r="AR42" s="34"/>
    </row>
    <row r="43" spans="1:44" x14ac:dyDescent="0.25">
      <c r="A43" s="42">
        <v>38</v>
      </c>
      <c r="B43" s="42" t="s">
        <v>70</v>
      </c>
      <c r="C43" s="13" t="s">
        <v>216</v>
      </c>
      <c r="D43" s="14" t="s">
        <v>162</v>
      </c>
      <c r="E43" s="15">
        <v>25.302</v>
      </c>
      <c r="F43" s="16">
        <v>80.956289999999996</v>
      </c>
      <c r="G43" s="17">
        <v>0.1</v>
      </c>
      <c r="H43" s="49" t="str">
        <v>NFL-159</v>
      </c>
      <c r="I43" s="18"/>
      <c r="J43" s="19">
        <v>16</v>
      </c>
      <c r="K43" s="52" t="str">
        <v>10</v>
      </c>
      <c r="L43" s="52">
        <v>1</v>
      </c>
      <c r="M43" s="52">
        <v>0</v>
      </c>
      <c r="N43" s="52">
        <v>0</v>
      </c>
      <c r="O43" s="52">
        <v>0</v>
      </c>
      <c r="P43" s="19">
        <v>1</v>
      </c>
      <c r="Q43" s="55">
        <f t="shared" ca="1" si="0"/>
        <v>6.0206811352411087</v>
      </c>
      <c r="R43" s="55">
        <f t="shared" ca="1" si="1"/>
        <v>5.7772099702255337</v>
      </c>
      <c r="S43" s="55" t="str">
        <f t="shared" ca="1" si="3"/>
        <v/>
      </c>
      <c r="T43" s="19">
        <v>0</v>
      </c>
      <c r="U43" s="20"/>
      <c r="W43" s="58" t="s">
        <v>71</v>
      </c>
      <c r="X43" s="106"/>
      <c r="Y43" s="88" t="s">
        <v>72</v>
      </c>
      <c r="Z43" s="59" t="s">
        <v>73</v>
      </c>
      <c r="AA43" s="88" t="s">
        <v>74</v>
      </c>
      <c r="AB43" s="59" t="s">
        <v>75</v>
      </c>
      <c r="AC43" s="88" t="s">
        <v>146</v>
      </c>
      <c r="AD43" s="60" t="s">
        <v>147</v>
      </c>
      <c r="AE43" s="88" t="s">
        <v>148</v>
      </c>
      <c r="AF43" s="2"/>
      <c r="AG43" s="2"/>
      <c r="AH43" s="2"/>
      <c r="AI43" s="2"/>
      <c r="AK43" s="152"/>
      <c r="AL43" s="153"/>
      <c r="AM43" s="153"/>
      <c r="AN43" s="34"/>
      <c r="AO43" s="153"/>
      <c r="AP43" s="153"/>
      <c r="AQ43" s="34"/>
      <c r="AR43" s="34"/>
    </row>
    <row r="44" spans="1:44" x14ac:dyDescent="0.25">
      <c r="A44" s="42">
        <v>39</v>
      </c>
      <c r="B44" s="42" t="s">
        <v>76</v>
      </c>
      <c r="C44" s="13" t="s">
        <v>216</v>
      </c>
      <c r="D44" s="14" t="s">
        <v>162</v>
      </c>
      <c r="E44" s="15">
        <v>22.402999999999999</v>
      </c>
      <c r="F44" s="16">
        <v>80.956289999999996</v>
      </c>
      <c r="G44" s="17">
        <v>0.1</v>
      </c>
      <c r="H44" s="49" t="str">
        <v>NFL-167</v>
      </c>
      <c r="I44" s="18"/>
      <c r="J44" s="19">
        <v>17</v>
      </c>
      <c r="K44" s="52" t="str">
        <v>10</v>
      </c>
      <c r="L44" s="52">
        <v>1</v>
      </c>
      <c r="M44" s="52">
        <v>0</v>
      </c>
      <c r="N44" s="52">
        <v>0</v>
      </c>
      <c r="O44" s="52">
        <v>0</v>
      </c>
      <c r="P44" s="19">
        <v>1</v>
      </c>
      <c r="Q44" s="55">
        <f t="shared" ca="1" si="0"/>
        <v>43.945110970640691</v>
      </c>
      <c r="R44" s="55">
        <f t="shared" ca="1" si="1"/>
        <v>43.616150767406708</v>
      </c>
      <c r="S44" s="55" t="str">
        <f t="shared" ca="1" si="3"/>
        <v/>
      </c>
      <c r="T44" s="19">
        <v>0</v>
      </c>
      <c r="U44" s="20"/>
      <c r="W44" s="64" t="s">
        <v>141</v>
      </c>
      <c r="X44" s="107" t="s">
        <v>77</v>
      </c>
      <c r="Y44" s="91" t="s">
        <v>78</v>
      </c>
      <c r="Z44" s="107" t="s">
        <v>78</v>
      </c>
      <c r="AA44" s="91" t="s">
        <v>78</v>
      </c>
      <c r="AB44" s="107" t="s">
        <v>78</v>
      </c>
      <c r="AC44" s="91" t="s">
        <v>78</v>
      </c>
      <c r="AD44" s="108" t="s">
        <v>78</v>
      </c>
      <c r="AE44" s="91" t="s">
        <v>78</v>
      </c>
      <c r="AF44" s="2"/>
      <c r="AG44" s="2"/>
      <c r="AH44" s="2"/>
      <c r="AI44" s="2"/>
      <c r="AK44" s="152"/>
      <c r="AL44" s="153"/>
      <c r="AM44" s="153"/>
      <c r="AN44" s="34"/>
      <c r="AO44" s="153"/>
      <c r="AP44" s="153"/>
      <c r="AQ44" s="34"/>
      <c r="AR44" s="34"/>
    </row>
    <row r="45" spans="1:44" x14ac:dyDescent="0.25">
      <c r="A45" s="42">
        <v>40</v>
      </c>
      <c r="B45" s="42" t="s">
        <v>79</v>
      </c>
      <c r="C45" s="13" t="s">
        <v>216</v>
      </c>
      <c r="D45" s="14" t="s">
        <v>162</v>
      </c>
      <c r="E45" s="15">
        <v>22.425000000000001</v>
      </c>
      <c r="F45" s="16">
        <v>80.956289999999996</v>
      </c>
      <c r="G45" s="17">
        <v>0.1</v>
      </c>
      <c r="H45" s="49" t="str">
        <v>NFL-167</v>
      </c>
      <c r="I45" s="18"/>
      <c r="J45" s="19">
        <v>17</v>
      </c>
      <c r="K45" s="52" t="str">
        <v>10</v>
      </c>
      <c r="L45" s="52">
        <v>1</v>
      </c>
      <c r="M45" s="52">
        <v>0</v>
      </c>
      <c r="N45" s="52">
        <v>0</v>
      </c>
      <c r="O45" s="52">
        <v>0</v>
      </c>
      <c r="P45" s="19">
        <v>1</v>
      </c>
      <c r="Q45" s="55">
        <f t="shared" ca="1" si="0"/>
        <v>43.287190564172732</v>
      </c>
      <c r="R45" s="55">
        <f t="shared" ca="1" si="1"/>
        <v>43.616150767406708</v>
      </c>
      <c r="S45" s="55" t="str">
        <f t="shared" ca="1" si="3"/>
        <v/>
      </c>
      <c r="T45" s="19">
        <v>0</v>
      </c>
      <c r="U45" s="20"/>
      <c r="W45" s="35">
        <v>2000</v>
      </c>
      <c r="X45" s="109">
        <f>LOG10(W45)</f>
        <v>3.3010299956639813</v>
      </c>
      <c r="Y45" s="65">
        <f>AVERAGE(AB32:AC32)</f>
        <v>13.526499999999999</v>
      </c>
      <c r="Z45" s="66"/>
      <c r="AA45" s="65"/>
      <c r="AB45" s="66"/>
      <c r="AC45" s="65"/>
      <c r="AD45" s="67"/>
      <c r="AE45" s="89">
        <f t="shared" ref="AE45:AE49" si="4">($AE$53*X45)+$AE$54</f>
        <v>29.033978354404255</v>
      </c>
      <c r="AF45" s="2"/>
      <c r="AG45" s="2"/>
      <c r="AH45" s="2"/>
      <c r="AI45" s="2"/>
      <c r="AK45" s="152"/>
      <c r="AL45" s="153"/>
      <c r="AM45" s="153"/>
      <c r="AN45" s="34"/>
      <c r="AO45" s="153"/>
      <c r="AP45" s="153"/>
      <c r="AQ45" s="34"/>
      <c r="AR45" s="34"/>
    </row>
    <row r="46" spans="1:44" x14ac:dyDescent="0.25">
      <c r="A46" s="42">
        <v>41</v>
      </c>
      <c r="B46" s="42" t="s">
        <v>80</v>
      </c>
      <c r="C46" s="13" t="s">
        <v>217</v>
      </c>
      <c r="D46" s="14" t="s">
        <v>162</v>
      </c>
      <c r="E46" s="15">
        <v>20.561</v>
      </c>
      <c r="F46" s="16">
        <v>80.956289999999996</v>
      </c>
      <c r="G46" s="17">
        <v>0.1</v>
      </c>
      <c r="H46" s="49" t="str">
        <v>std1[16]_progen#62008</v>
      </c>
      <c r="I46" s="18"/>
      <c r="J46" s="19">
        <v>18</v>
      </c>
      <c r="K46" s="52" t="str">
        <v>1</v>
      </c>
      <c r="L46" s="52">
        <v>1</v>
      </c>
      <c r="M46" s="52">
        <v>0</v>
      </c>
      <c r="N46" s="52">
        <v>0</v>
      </c>
      <c r="O46" s="52">
        <v>0</v>
      </c>
      <c r="P46" s="19">
        <v>1</v>
      </c>
      <c r="Q46" s="55">
        <f t="shared" ca="1" si="0"/>
        <v>15.538954037171855</v>
      </c>
      <c r="R46" s="55">
        <f t="shared" ca="1" si="1"/>
        <v>15.915368562939706</v>
      </c>
      <c r="S46" s="55">
        <f t="shared" ca="1" si="3"/>
        <v>0.97118462732324096</v>
      </c>
      <c r="T46" s="19">
        <v>0</v>
      </c>
      <c r="U46" s="20"/>
      <c r="W46" s="35">
        <v>400</v>
      </c>
      <c r="X46" s="109">
        <f t="shared" ref="X46:X51" si="5">LOG10(W46)</f>
        <v>2.6020599913279625</v>
      </c>
      <c r="Y46" s="65">
        <f t="shared" ref="Y46:Y52" si="6">AVERAGE(AB33:AC33)</f>
        <v>15.774000000000001</v>
      </c>
      <c r="Z46" s="66"/>
      <c r="AA46" s="65"/>
      <c r="AB46" s="66"/>
      <c r="AC46" s="65"/>
      <c r="AD46" s="67"/>
      <c r="AE46" s="89">
        <f t="shared" si="4"/>
        <v>31.355956708808506</v>
      </c>
      <c r="AF46" s="2"/>
      <c r="AG46" s="2"/>
      <c r="AH46" s="2"/>
      <c r="AI46" s="2"/>
      <c r="AK46" s="152"/>
      <c r="AL46" s="153"/>
      <c r="AM46" s="153"/>
      <c r="AN46" s="34"/>
      <c r="AO46" s="153"/>
      <c r="AP46" s="153"/>
      <c r="AQ46" s="34"/>
      <c r="AR46" s="34"/>
    </row>
    <row r="47" spans="1:44" x14ac:dyDescent="0.25">
      <c r="A47" s="42">
        <v>42</v>
      </c>
      <c r="B47" s="42" t="s">
        <v>81</v>
      </c>
      <c r="C47" s="13" t="s">
        <v>217</v>
      </c>
      <c r="D47" s="14" t="s">
        <v>162</v>
      </c>
      <c r="E47" s="15">
        <v>20.492000000000001</v>
      </c>
      <c r="F47" s="16">
        <v>80.956289999999996</v>
      </c>
      <c r="G47" s="17">
        <v>0.1</v>
      </c>
      <c r="H47" s="49" t="str">
        <v>std1[16]_progen#62008</v>
      </c>
      <c r="I47" s="18"/>
      <c r="J47" s="19">
        <v>18</v>
      </c>
      <c r="K47" s="52" t="str">
        <v>1</v>
      </c>
      <c r="L47" s="52">
        <v>1</v>
      </c>
      <c r="M47" s="52">
        <v>0</v>
      </c>
      <c r="N47" s="52">
        <v>0</v>
      </c>
      <c r="O47" s="52">
        <v>0</v>
      </c>
      <c r="P47" s="19">
        <v>1</v>
      </c>
      <c r="Q47" s="55">
        <f t="shared" ca="1" si="0"/>
        <v>16.291783088707557</v>
      </c>
      <c r="R47" s="55">
        <f t="shared" ca="1" si="1"/>
        <v>15.915368562939706</v>
      </c>
      <c r="S47" s="55">
        <f t="shared" ca="1" si="3"/>
        <v>1.0182364430442223</v>
      </c>
      <c r="T47" s="19">
        <v>0</v>
      </c>
      <c r="U47" s="20"/>
      <c r="W47" s="35">
        <v>80</v>
      </c>
      <c r="X47" s="109">
        <f t="shared" si="5"/>
        <v>1.9030899869919435</v>
      </c>
      <c r="Y47" s="65">
        <f t="shared" si="6"/>
        <v>18.174500000000002</v>
      </c>
      <c r="Z47" s="66"/>
      <c r="AA47" s="65"/>
      <c r="AB47" s="66"/>
      <c r="AC47" s="65"/>
      <c r="AD47" s="67"/>
      <c r="AE47" s="89">
        <f t="shared" si="4"/>
        <v>33.677935063212765</v>
      </c>
      <c r="AF47" s="2"/>
      <c r="AG47" s="2"/>
      <c r="AH47" s="2"/>
      <c r="AI47" s="2"/>
      <c r="AK47" s="152"/>
      <c r="AL47" s="153"/>
      <c r="AM47" s="153"/>
      <c r="AN47" s="34"/>
      <c r="AO47" s="153"/>
      <c r="AP47" s="153"/>
      <c r="AQ47" s="34"/>
      <c r="AR47" s="34"/>
    </row>
    <row r="48" spans="1:44" x14ac:dyDescent="0.25">
      <c r="A48" s="42">
        <v>43</v>
      </c>
      <c r="B48" s="42" t="s">
        <v>82</v>
      </c>
      <c r="C48" s="13" t="s">
        <v>216</v>
      </c>
      <c r="D48" s="14" t="s">
        <v>162</v>
      </c>
      <c r="E48" s="15">
        <v>21.234000000000002</v>
      </c>
      <c r="F48" s="16">
        <v>80.956289999999996</v>
      </c>
      <c r="G48" s="17">
        <v>0.1</v>
      </c>
      <c r="H48" s="49" t="str">
        <v>NFL-175</v>
      </c>
      <c r="I48" s="18"/>
      <c r="J48" s="19">
        <v>19</v>
      </c>
      <c r="K48" s="52" t="str">
        <v>10</v>
      </c>
      <c r="L48" s="52">
        <v>1</v>
      </c>
      <c r="M48" s="52">
        <v>0</v>
      </c>
      <c r="N48" s="52">
        <v>0</v>
      </c>
      <c r="O48" s="52">
        <v>0</v>
      </c>
      <c r="P48" s="19">
        <v>1</v>
      </c>
      <c r="Q48" s="55">
        <f t="shared" ca="1" si="0"/>
        <v>97.952533939466349</v>
      </c>
      <c r="R48" s="55">
        <f t="shared" ca="1" si="1"/>
        <v>89.619612758763026</v>
      </c>
      <c r="S48" s="55" t="str">
        <f t="shared" ca="1" si="3"/>
        <v/>
      </c>
      <c r="T48" s="19">
        <v>0</v>
      </c>
      <c r="U48" s="20"/>
      <c r="W48" s="35">
        <v>16</v>
      </c>
      <c r="X48" s="109">
        <f t="shared" si="5"/>
        <v>1.2041199826559248</v>
      </c>
      <c r="Y48" s="65">
        <f t="shared" si="6"/>
        <v>20.526499999999999</v>
      </c>
      <c r="Z48" s="66"/>
      <c r="AA48" s="65"/>
      <c r="AB48" s="66"/>
      <c r="AC48" s="65"/>
      <c r="AD48" s="67"/>
      <c r="AE48" s="89">
        <f t="shared" si="4"/>
        <v>35.999913417617016</v>
      </c>
      <c r="AF48" s="2"/>
      <c r="AG48" s="2"/>
      <c r="AH48" s="2"/>
      <c r="AI48" s="2"/>
      <c r="AK48" s="152"/>
      <c r="AL48" s="153"/>
      <c r="AM48" s="153"/>
      <c r="AN48" s="153"/>
      <c r="AO48" s="153"/>
      <c r="AP48" s="153"/>
      <c r="AQ48" s="34"/>
      <c r="AR48" s="34"/>
    </row>
    <row r="49" spans="1:44" x14ac:dyDescent="0.25">
      <c r="A49" s="42">
        <v>44</v>
      </c>
      <c r="B49" s="42" t="s">
        <v>83</v>
      </c>
      <c r="C49" s="13" t="s">
        <v>216</v>
      </c>
      <c r="D49" s="14" t="s">
        <v>162</v>
      </c>
      <c r="E49" s="15">
        <v>21.506</v>
      </c>
      <c r="F49" s="16">
        <v>80.956289999999996</v>
      </c>
      <c r="G49" s="17">
        <v>0.1</v>
      </c>
      <c r="H49" s="49" t="str">
        <v>NFL-175</v>
      </c>
      <c r="I49" s="18"/>
      <c r="J49" s="19">
        <v>19</v>
      </c>
      <c r="K49" s="52" t="str">
        <v>10</v>
      </c>
      <c r="L49" s="52">
        <v>1</v>
      </c>
      <c r="M49" s="52">
        <v>0</v>
      </c>
      <c r="N49" s="52">
        <v>0</v>
      </c>
      <c r="O49" s="52">
        <v>0</v>
      </c>
      <c r="P49" s="19">
        <v>1</v>
      </c>
      <c r="Q49" s="55">
        <f t="shared" ca="1" si="0"/>
        <v>81.286691578059703</v>
      </c>
      <c r="R49" s="55">
        <f t="shared" ca="1" si="1"/>
        <v>89.619612758763026</v>
      </c>
      <c r="S49" s="55" t="str">
        <f t="shared" ca="1" si="3"/>
        <v/>
      </c>
      <c r="T49" s="19">
        <v>0</v>
      </c>
      <c r="U49" s="20"/>
      <c r="W49" s="35">
        <v>3.2</v>
      </c>
      <c r="X49" s="109">
        <f t="shared" si="5"/>
        <v>0.50514997831990605</v>
      </c>
      <c r="Y49" s="65">
        <f t="shared" si="6"/>
        <v>22.790500000000002</v>
      </c>
      <c r="Z49" s="66"/>
      <c r="AA49" s="65"/>
      <c r="AB49" s="66"/>
      <c r="AC49" s="65"/>
      <c r="AD49" s="67"/>
      <c r="AE49" s="89">
        <f t="shared" si="4"/>
        <v>38.321891772021274</v>
      </c>
      <c r="AF49" s="2"/>
      <c r="AG49" s="2"/>
      <c r="AH49" s="2"/>
      <c r="AI49" s="2"/>
      <c r="AK49" s="152"/>
      <c r="AL49" s="153"/>
      <c r="AM49" s="153"/>
      <c r="AN49" s="153"/>
      <c r="AO49" s="153"/>
      <c r="AP49" s="153"/>
      <c r="AQ49" s="34"/>
      <c r="AR49" s="34"/>
    </row>
    <row r="50" spans="1:44" x14ac:dyDescent="0.25">
      <c r="A50" s="42">
        <v>45</v>
      </c>
      <c r="B50" s="42" t="s">
        <v>84</v>
      </c>
      <c r="C50" s="13" t="s">
        <v>216</v>
      </c>
      <c r="D50" s="14" t="s">
        <v>162</v>
      </c>
      <c r="E50" s="15">
        <v>26.407</v>
      </c>
      <c r="F50" s="16">
        <v>80.956289999999996</v>
      </c>
      <c r="G50" s="17">
        <v>0.1</v>
      </c>
      <c r="H50" s="49" t="str">
        <v>NFL-183</v>
      </c>
      <c r="I50" s="18"/>
      <c r="J50" s="19">
        <v>20</v>
      </c>
      <c r="K50" s="52" t="str">
        <v>10</v>
      </c>
      <c r="L50" s="52">
        <v>1</v>
      </c>
      <c r="M50" s="52">
        <v>0</v>
      </c>
      <c r="N50" s="52">
        <v>0</v>
      </c>
      <c r="O50" s="52">
        <v>0</v>
      </c>
      <c r="P50" s="19">
        <v>1</v>
      </c>
      <c r="Q50" s="55">
        <f t="shared" ca="1" si="0"/>
        <v>2.8222693088387611</v>
      </c>
      <c r="R50" s="55">
        <f t="shared" ca="1" si="1"/>
        <v>2.8059162017394401</v>
      </c>
      <c r="S50" s="55" t="str">
        <f t="shared" ca="1" si="3"/>
        <v/>
      </c>
      <c r="T50" s="19">
        <v>0</v>
      </c>
      <c r="U50" s="20"/>
      <c r="W50" s="35">
        <v>0.64</v>
      </c>
      <c r="X50" s="109">
        <f t="shared" si="5"/>
        <v>-0.19382002601611281</v>
      </c>
      <c r="Y50" s="65">
        <f t="shared" si="6"/>
        <v>25.2745</v>
      </c>
      <c r="Z50" s="66"/>
      <c r="AA50" s="65"/>
      <c r="AB50" s="66"/>
      <c r="AC50" s="65"/>
      <c r="AD50" s="67"/>
      <c r="AE50" s="89">
        <f>($AE$53*X50)+$AE$54</f>
        <v>40.643870126425526</v>
      </c>
      <c r="AF50" s="2"/>
      <c r="AG50" s="2"/>
      <c r="AH50" s="2"/>
      <c r="AI50" s="2"/>
      <c r="AK50" s="152"/>
      <c r="AL50" s="153"/>
      <c r="AM50" s="153"/>
      <c r="AN50" s="153"/>
      <c r="AO50" s="153"/>
      <c r="AP50" s="153"/>
      <c r="AQ50" s="34"/>
      <c r="AR50" s="34"/>
    </row>
    <row r="51" spans="1:44" x14ac:dyDescent="0.25">
      <c r="A51" s="42">
        <v>46</v>
      </c>
      <c r="B51" s="42" t="s">
        <v>85</v>
      </c>
      <c r="C51" s="13" t="s">
        <v>216</v>
      </c>
      <c r="D51" s="14" t="s">
        <v>162</v>
      </c>
      <c r="E51" s="15">
        <v>26.423999999999999</v>
      </c>
      <c r="F51" s="16">
        <v>80.956289999999996</v>
      </c>
      <c r="G51" s="17">
        <v>0.1</v>
      </c>
      <c r="H51" s="49" t="str">
        <v>NFL-183</v>
      </c>
      <c r="I51" s="18"/>
      <c r="J51" s="19">
        <v>20</v>
      </c>
      <c r="K51" s="52" t="str">
        <v>10</v>
      </c>
      <c r="L51" s="52">
        <v>1</v>
      </c>
      <c r="M51" s="52">
        <v>0</v>
      </c>
      <c r="N51" s="52">
        <v>0</v>
      </c>
      <c r="O51" s="52">
        <v>0</v>
      </c>
      <c r="P51" s="19">
        <v>1</v>
      </c>
      <c r="Q51" s="55">
        <f t="shared" ca="1" si="0"/>
        <v>2.7895630946401191</v>
      </c>
      <c r="R51" s="55">
        <f t="shared" ca="1" si="1"/>
        <v>2.8059162017394401</v>
      </c>
      <c r="S51" s="55" t="str">
        <f t="shared" ca="1" si="3"/>
        <v/>
      </c>
      <c r="T51" s="19">
        <v>0</v>
      </c>
      <c r="U51" s="20"/>
      <c r="W51" s="35">
        <v>0.128</v>
      </c>
      <c r="X51" s="109">
        <f t="shared" si="5"/>
        <v>-0.89279003035213167</v>
      </c>
      <c r="Y51" s="65">
        <f>AVERAGE(AB38:AC38)</f>
        <v>27.561999999999998</v>
      </c>
      <c r="Z51" s="66"/>
      <c r="AA51" s="65"/>
      <c r="AB51" s="66"/>
      <c r="AC51" s="65"/>
      <c r="AD51" s="67"/>
      <c r="AE51" s="89">
        <f>($AE$53*X51)+$AE$54</f>
        <v>42.965848480829784</v>
      </c>
      <c r="AF51" s="2"/>
      <c r="AG51" s="2"/>
      <c r="AH51" s="2"/>
      <c r="AI51" s="2"/>
      <c r="AK51" s="152"/>
      <c r="AL51" s="153"/>
      <c r="AM51" s="153"/>
      <c r="AN51" s="153"/>
      <c r="AO51" s="153"/>
      <c r="AP51" s="153"/>
      <c r="AQ51" s="34"/>
      <c r="AR51" s="34"/>
    </row>
    <row r="52" spans="1:44" x14ac:dyDescent="0.25">
      <c r="A52" s="42">
        <v>47</v>
      </c>
      <c r="B52" s="42" t="s">
        <v>86</v>
      </c>
      <c r="C52" s="13" t="s">
        <v>216</v>
      </c>
      <c r="D52" s="14" t="s">
        <v>162</v>
      </c>
      <c r="E52" s="15">
        <v>24.638999999999999</v>
      </c>
      <c r="F52" s="16">
        <v>80.956289999999996</v>
      </c>
      <c r="G52" s="17">
        <v>0.1</v>
      </c>
      <c r="H52" s="49" t="str">
        <v>NFL-189</v>
      </c>
      <c r="I52" s="18"/>
      <c r="J52" s="19">
        <v>42</v>
      </c>
      <c r="K52" s="52" t="str">
        <v>10</v>
      </c>
      <c r="L52" s="52">
        <v>1</v>
      </c>
      <c r="M52" s="52">
        <v>0</v>
      </c>
      <c r="N52" s="52">
        <v>0</v>
      </c>
      <c r="O52" s="52">
        <v>0</v>
      </c>
      <c r="P52" s="19">
        <v>1</v>
      </c>
      <c r="Q52" s="55">
        <f t="shared" ca="1" si="0"/>
        <v>9.485799291352448</v>
      </c>
      <c r="R52" s="55">
        <f t="shared" ca="1" si="1"/>
        <v>9.7463638246322155</v>
      </c>
      <c r="S52" s="55" t="str">
        <f t="shared" ca="1" si="3"/>
        <v/>
      </c>
      <c r="T52" s="19">
        <v>0</v>
      </c>
      <c r="U52" s="20"/>
      <c r="W52" s="36">
        <v>0</v>
      </c>
      <c r="X52" s="109" t="str">
        <f>IFERROR(LOG10(W52),"")</f>
        <v/>
      </c>
      <c r="Y52" s="65">
        <f t="shared" si="6"/>
        <v>32.873000000000005</v>
      </c>
      <c r="Z52" s="66"/>
      <c r="AA52" s="65"/>
      <c r="AB52" s="66"/>
      <c r="AC52" s="65"/>
      <c r="AD52" s="67"/>
      <c r="AE52" s="90"/>
      <c r="AF52" s="2"/>
      <c r="AG52" s="2"/>
      <c r="AH52" s="2"/>
      <c r="AI52" s="2"/>
      <c r="AK52" s="152"/>
      <c r="AL52" s="153"/>
      <c r="AM52" s="153"/>
      <c r="AN52" s="153"/>
      <c r="AO52" s="153"/>
      <c r="AP52" s="153"/>
      <c r="AQ52" s="34"/>
      <c r="AR52" s="34"/>
    </row>
    <row r="53" spans="1:44" x14ac:dyDescent="0.25">
      <c r="A53" s="42">
        <v>48</v>
      </c>
      <c r="B53" s="43" t="s">
        <v>87</v>
      </c>
      <c r="C53" s="21" t="s">
        <v>218</v>
      </c>
      <c r="D53" s="22" t="s">
        <v>162</v>
      </c>
      <c r="E53" s="23" t="s">
        <v>164</v>
      </c>
      <c r="F53" s="24">
        <v>0</v>
      </c>
      <c r="G53" s="25">
        <v>0.1</v>
      </c>
      <c r="H53" s="50" t="str">
        <v>unused</v>
      </c>
      <c r="I53" s="26"/>
      <c r="J53" s="27">
        <v>45</v>
      </c>
      <c r="K53" s="53" t="str">
        <v>1</v>
      </c>
      <c r="L53" s="53">
        <v>1</v>
      </c>
      <c r="M53" s="53">
        <v>0</v>
      </c>
      <c r="N53" s="53">
        <v>0</v>
      </c>
      <c r="O53" s="53">
        <v>0</v>
      </c>
      <c r="P53" s="27">
        <v>1</v>
      </c>
      <c r="Q53" s="56" t="str">
        <f t="shared" si="0"/>
        <v/>
      </c>
      <c r="R53" s="56" t="str">
        <f t="shared" si="1"/>
        <v/>
      </c>
      <c r="S53" s="56" t="str">
        <f t="shared" si="3"/>
        <v/>
      </c>
      <c r="T53" s="27">
        <v>1</v>
      </c>
      <c r="U53" s="28"/>
      <c r="W53" s="41"/>
      <c r="X53" s="68" t="s">
        <v>88</v>
      </c>
      <c r="Y53" s="69" cm="1">
        <f t="array" aca="1" ref="Y53" ca="1">IFERROR(INDEX(LINEST(OFFSET(Y45,0,0,MIN(COUNT(Y45:Y51),COUNT($X$45:$X$51))), OFFSET($X$45,0,0,MIN(COUNT(Y45:Y51),COUNT($X$45:$X$51)))),1), "")</f>
        <v>-3.3581810987334513</v>
      </c>
      <c r="Z53" s="70" t="str" cm="1">
        <f t="array" aca="1" ref="Z53" ca="1">IFERROR(INDEX(LINEST(OFFSET(Z45,0,0,MIN(COUNT(Z45:Z51),COUNT($X$45:$X$51))), OFFSET($X$45,0,0,MIN(COUNT(Z45:Z51),COUNT($X$45:$X$51)))),1), "")</f>
        <v/>
      </c>
      <c r="AA53" s="71" t="str" cm="1">
        <f t="array" aca="1" ref="AA53" ca="1">IFERROR(INDEX(LINEST(OFFSET(AA45,0,0,MIN(COUNT(AA45:AA51),COUNT($X$45:$X$51))), OFFSET($X$45,0,0,MIN(COUNT(AA45:AA51),COUNT($X$45:$X$51)))),1), "")</f>
        <v/>
      </c>
      <c r="AB53" s="70" t="str" cm="1">
        <f t="array" aca="1" ref="AB53" ca="1">IFERROR(INDEX(LINEST(OFFSET(AB45,0,0,MIN(COUNT(AB45:AB51),COUNT($X$45:$X$51))), OFFSET($X$45,0,0,MIN(COUNT(AB45:AB51),COUNT($X$45:$X$51)))),1), "")</f>
        <v/>
      </c>
      <c r="AC53" s="71" t="str" cm="1">
        <f t="array" aca="1" ref="AC53" ca="1">IFERROR(INDEX(LINEST(OFFSET(AC45,0,0,MIN(COUNT(AC45:AC51),COUNT($X$45:$X$51))), OFFSET($X$45,0,0,MIN(COUNT(AC45:AC51),COUNT($X$45:$X$51)))),1), "")</f>
        <v/>
      </c>
      <c r="AD53" s="69" t="str" cm="1">
        <f t="array" aca="1" ref="AD53" ca="1">IFERROR(INDEX(LINEST(OFFSET(AD45,0,0,MIN(COUNT(AD45:AD51),COUNT($X$45:$X$51))), OFFSET($X$45,0,0,MIN(COUNT(AD45:AD51),COUNT($X$45:$X$51)))),1), "")</f>
        <v/>
      </c>
      <c r="AE53" s="119">
        <v>-3.3220000000000001</v>
      </c>
      <c r="AF53" s="2"/>
      <c r="AG53" s="2"/>
      <c r="AH53" s="2"/>
      <c r="AI53" s="2"/>
      <c r="AK53" s="152"/>
      <c r="AL53" s="153"/>
      <c r="AM53" s="153"/>
      <c r="AN53" s="153"/>
      <c r="AO53" s="153"/>
      <c r="AP53" s="153"/>
      <c r="AQ53" s="34"/>
      <c r="AR53" s="34"/>
    </row>
    <row r="54" spans="1:44" x14ac:dyDescent="0.25">
      <c r="A54" s="41">
        <v>49</v>
      </c>
      <c r="B54" s="42" t="s">
        <v>89</v>
      </c>
      <c r="C54" s="13" t="s">
        <v>216</v>
      </c>
      <c r="D54" s="14" t="s">
        <v>162</v>
      </c>
      <c r="E54" s="15">
        <v>25.300999999999998</v>
      </c>
      <c r="F54" s="16">
        <v>80.956289999999996</v>
      </c>
      <c r="G54" s="17">
        <v>0.1</v>
      </c>
      <c r="H54" s="49" t="str" cm="1">
        <f t="array" ref="H54:H65">TRANSPOSE(X10:AI10)</f>
        <v>NFL-160</v>
      </c>
      <c r="I54" s="18"/>
      <c r="J54" s="19">
        <v>21</v>
      </c>
      <c r="K54" s="52" t="str" cm="1">
        <f t="array" ref="K54:K65">TRANSPOSE(RIGHT(LEFT(X21:AI21,FIND(";",X21:AI21)-1),LEN(LEFT(X21:AI21,FIND(";",X21:AI21)-1))-1))</f>
        <v>10</v>
      </c>
      <c r="L54" s="52" cm="1">
        <f t="array" ref="L54:L65">TRANSPOSE(IF(ISNUMBER(SEARCH("v1",X21:AI21)),1,0))</f>
        <v>1</v>
      </c>
      <c r="M54" s="52" cm="1">
        <f t="array" ref="M54:M65">TRANSPOSE(IF(ISNUMBER(SEARCH("v2",X21:AI21)),1,0))</f>
        <v>0</v>
      </c>
      <c r="N54" s="52" cm="1">
        <f t="array" ref="N54:N65">TRANSPOSE(IF(ISNUMBER(SEARCH("v3",X21:AI21)),1,0))</f>
        <v>0</v>
      </c>
      <c r="O54" s="52" cm="1">
        <f t="array" ref="O54:O65">TRANSPOSE(IF(ISNUMBER(SEARCH("v4",X21:AI21)),1,0))</f>
        <v>0</v>
      </c>
      <c r="P54" s="19">
        <v>1</v>
      </c>
      <c r="Q54" s="55">
        <f t="shared" ca="1" si="0"/>
        <v>6.0248107173088128</v>
      </c>
      <c r="R54" s="55">
        <f t="shared" ca="1" si="1"/>
        <v>6.2077853601025339</v>
      </c>
      <c r="S54" s="55" t="str">
        <f t="shared" ca="1" si="3"/>
        <v/>
      </c>
      <c r="T54" s="19">
        <v>0</v>
      </c>
      <c r="U54" s="20"/>
      <c r="W54" s="72"/>
      <c r="X54" s="73" t="s">
        <v>90</v>
      </c>
      <c r="Y54" s="74" cm="1">
        <f t="array" aca="1" ref="Y54" ca="1">IFERROR(INDEX(LINEST(OFFSET(Y45,0,0,MIN(COUNT(Y45:Y51),COUNT($X$45:$X$51))), OFFSET($X$45,0,0,MIN(COUNT(Y45:Y51),COUNT($X$45:$X$51)))),2), "")</f>
        <v>24.562010109219521</v>
      </c>
      <c r="Z54" s="75" t="str" cm="1">
        <f t="array" aca="1" ref="Z54" ca="1">IFERROR(INDEX(LINEST(OFFSET(Z45,0,0,MIN(COUNT(Z45:Z51),COUNT($X$45:$X$51))), OFFSET($X$45,0,0,MIN(COUNT(Z45:Z51),COUNT($X$45:$X$51)))),2), "")</f>
        <v/>
      </c>
      <c r="AA54" s="76" t="str" cm="1">
        <f t="array" aca="1" ref="AA54" ca="1">IFERROR(INDEX(LINEST(OFFSET(AA45,0,0,MIN(COUNT(AA45:AA51),COUNT($X$45:$X$51))), OFFSET($X$45,0,0,MIN(COUNT(AA45:AA51),COUNT($X$45:$X$51)))),2), "")</f>
        <v/>
      </c>
      <c r="AB54" s="75" t="str" cm="1">
        <f t="array" aca="1" ref="AB54" ca="1">IFERROR(INDEX(LINEST(OFFSET(AB45,0,0,MIN(COUNT(AB45:AB51),COUNT($X$45:$X$51))), OFFSET($X$45,0,0,MIN(COUNT(AB45:AB51),COUNT($X$45:$X$51)))),2), "")</f>
        <v/>
      </c>
      <c r="AC54" s="76" t="str" cm="1">
        <f t="array" aca="1" ref="AC54" ca="1">IFERROR(INDEX(LINEST(OFFSET(AC45,0,0,MIN(COUNT(AC45:AC51),COUNT($X$45:$X$51))), OFFSET($X$45,0,0,MIN(COUNT(AC45:AC51),COUNT($X$45:$X$51)))),2), "")</f>
        <v/>
      </c>
      <c r="AD54" s="74" t="str" cm="1">
        <f t="array" aca="1" ref="AD54" ca="1">IFERROR(INDEX(LINEST(OFFSET(AD45,0,0,MIN(COUNT(AD45:AD51),COUNT($X$45:$X$51))), OFFSET($X$45,0,0,MIN(COUNT(AD45:AD51),COUNT($X$45:$X$51)))),2), "")</f>
        <v/>
      </c>
      <c r="AE54" s="90">
        <v>40</v>
      </c>
      <c r="AF54" s="2"/>
      <c r="AG54" s="2"/>
      <c r="AH54" s="2"/>
      <c r="AI54" s="2"/>
      <c r="AK54" s="152"/>
      <c r="AL54" s="153"/>
      <c r="AM54" s="153"/>
      <c r="AN54" s="153"/>
      <c r="AO54" s="153"/>
      <c r="AP54" s="153"/>
      <c r="AQ54" s="34"/>
      <c r="AR54" s="34"/>
    </row>
    <row r="55" spans="1:44" x14ac:dyDescent="0.25">
      <c r="A55" s="42">
        <v>50</v>
      </c>
      <c r="B55" s="42" t="s">
        <v>91</v>
      </c>
      <c r="C55" s="13" t="s">
        <v>216</v>
      </c>
      <c r="D55" s="14" t="s">
        <v>162</v>
      </c>
      <c r="E55" s="15">
        <v>25.215</v>
      </c>
      <c r="F55" s="16">
        <v>80.956289999999996</v>
      </c>
      <c r="G55" s="17">
        <v>0.1</v>
      </c>
      <c r="H55" s="49" t="str">
        <v>NFL-160</v>
      </c>
      <c r="I55" s="18"/>
      <c r="J55" s="19">
        <v>21</v>
      </c>
      <c r="K55" s="52" t="str">
        <v>10</v>
      </c>
      <c r="L55" s="52">
        <v>1</v>
      </c>
      <c r="M55" s="52">
        <v>0</v>
      </c>
      <c r="N55" s="52">
        <v>0</v>
      </c>
      <c r="O55" s="52">
        <v>0</v>
      </c>
      <c r="P55" s="19">
        <v>1</v>
      </c>
      <c r="Q55" s="55">
        <f t="shared" ca="1" si="0"/>
        <v>6.3907600028962559</v>
      </c>
      <c r="R55" s="55">
        <f t="shared" ca="1" si="1"/>
        <v>6.2077853601025339</v>
      </c>
      <c r="S55" s="55" t="str">
        <f t="shared" ca="1" si="3"/>
        <v/>
      </c>
      <c r="T55" s="19">
        <v>0</v>
      </c>
      <c r="U55" s="20"/>
      <c r="W55" s="77"/>
      <c r="X55" s="78" t="s">
        <v>92</v>
      </c>
      <c r="Y55" s="79">
        <f ca="1">IFERROR(RSQ(OFFSET(Y45,0,0,MIN(COUNT(Y45:Y51),COUNT($X$45:$X$51))), OFFSET($X$45,0,0,MIN(COUNT(Y45:Y51),COUNT($X$45:$X$51)))), "")</f>
        <v>0.99990603536622302</v>
      </c>
      <c r="Z55" s="80" t="str">
        <f t="shared" ref="Z55:AD55" ca="1" si="7">IFERROR(RSQ(OFFSET(Z45,0,0,MIN(COUNT(Z45:Z51),COUNT($X$45:$X$51))), OFFSET($X$45,0,0,MIN(COUNT(Z45:Z51),COUNT($X$45:$X$51)))), "")</f>
        <v/>
      </c>
      <c r="AA55" s="81" t="str">
        <f t="shared" ca="1" si="7"/>
        <v/>
      </c>
      <c r="AB55" s="80" t="str">
        <f t="shared" ca="1" si="7"/>
        <v/>
      </c>
      <c r="AC55" s="81" t="str">
        <f t="shared" ca="1" si="7"/>
        <v/>
      </c>
      <c r="AD55" s="82" t="str">
        <f t="shared" ca="1" si="7"/>
        <v/>
      </c>
      <c r="AE55" s="85"/>
      <c r="AF55" s="2"/>
      <c r="AG55" s="2"/>
      <c r="AH55" s="2"/>
      <c r="AI55" s="2"/>
      <c r="AK55" s="151"/>
      <c r="AL55" s="34"/>
      <c r="AM55" s="34"/>
      <c r="AN55" s="34"/>
      <c r="AO55" s="153"/>
      <c r="AP55" s="153"/>
      <c r="AQ55" s="34"/>
      <c r="AR55" s="34"/>
    </row>
    <row r="56" spans="1:44" x14ac:dyDescent="0.25">
      <c r="A56" s="42">
        <v>51</v>
      </c>
      <c r="B56" s="42" t="s">
        <v>93</v>
      </c>
      <c r="C56" s="13" t="s">
        <v>216</v>
      </c>
      <c r="D56" s="14" t="s">
        <v>162</v>
      </c>
      <c r="E56" s="15">
        <v>22.084</v>
      </c>
      <c r="F56" s="16">
        <v>80.956289999999996</v>
      </c>
      <c r="G56" s="17">
        <v>0.1</v>
      </c>
      <c r="H56" s="49" t="str">
        <v>NFL-168</v>
      </c>
      <c r="I56" s="18"/>
      <c r="J56" s="19">
        <v>22</v>
      </c>
      <c r="K56" s="52" t="str">
        <v>10</v>
      </c>
      <c r="L56" s="52">
        <v>1</v>
      </c>
      <c r="M56" s="52">
        <v>0</v>
      </c>
      <c r="N56" s="52">
        <v>0</v>
      </c>
      <c r="O56" s="52">
        <v>0</v>
      </c>
      <c r="P56" s="19">
        <v>1</v>
      </c>
      <c r="Q56" s="55">
        <f t="shared" ca="1" si="0"/>
        <v>54.689312585591622</v>
      </c>
      <c r="R56" s="55">
        <f t="shared" ca="1" si="1"/>
        <v>54.877449404564331</v>
      </c>
      <c r="S56" s="55" t="str">
        <f t="shared" ca="1" si="3"/>
        <v/>
      </c>
      <c r="T56" s="19">
        <v>0</v>
      </c>
      <c r="U56" s="20"/>
      <c r="W56" s="83"/>
      <c r="X56" s="84" t="s">
        <v>94</v>
      </c>
      <c r="Y56" s="86">
        <f t="shared" ref="Y56:AB56" ca="1" si="8">IFERROR((10^(-1/Y53))-1, "")</f>
        <v>0.98509021159117127</v>
      </c>
      <c r="Z56" s="86" t="str">
        <f t="shared" ca="1" si="8"/>
        <v/>
      </c>
      <c r="AA56" s="86" t="str">
        <f t="shared" ca="1" si="8"/>
        <v/>
      </c>
      <c r="AB56" s="86" t="str">
        <f t="shared" ca="1" si="8"/>
        <v/>
      </c>
      <c r="AC56" s="86" t="str">
        <f ca="1">IFERROR((10^(-1/AC53))-1, "")</f>
        <v/>
      </c>
      <c r="AD56" s="86" t="str">
        <f t="shared" ref="AD56:AE56" ca="1" si="9">IFERROR((10^(-1/AD53))-1, "")</f>
        <v/>
      </c>
      <c r="AE56" s="86">
        <f t="shared" si="9"/>
        <v>0.99996999370728057</v>
      </c>
      <c r="AF56" s="2"/>
      <c r="AG56" s="2"/>
      <c r="AH56" s="2"/>
      <c r="AI56" s="2"/>
      <c r="AK56" s="151"/>
      <c r="AL56" s="34"/>
      <c r="AM56" s="34"/>
      <c r="AN56" s="34"/>
      <c r="AO56" s="153"/>
      <c r="AP56" s="153"/>
      <c r="AQ56" s="34"/>
      <c r="AR56" s="34"/>
    </row>
    <row r="57" spans="1:44" x14ac:dyDescent="0.25">
      <c r="A57" s="42">
        <v>52</v>
      </c>
      <c r="B57" s="42" t="s">
        <v>95</v>
      </c>
      <c r="C57" s="13" t="s">
        <v>216</v>
      </c>
      <c r="D57" s="14" t="s">
        <v>162</v>
      </c>
      <c r="E57" s="15">
        <v>22.074000000000002</v>
      </c>
      <c r="F57" s="16">
        <v>80.956289999999996</v>
      </c>
      <c r="G57" s="17">
        <v>0.1</v>
      </c>
      <c r="H57" s="49" t="str">
        <v>NFL-168</v>
      </c>
      <c r="I57" s="18"/>
      <c r="J57" s="19">
        <v>22</v>
      </c>
      <c r="K57" s="52" t="str">
        <v>10</v>
      </c>
      <c r="L57" s="52">
        <v>1</v>
      </c>
      <c r="M57" s="52">
        <v>0</v>
      </c>
      <c r="N57" s="52">
        <v>0</v>
      </c>
      <c r="O57" s="52">
        <v>0</v>
      </c>
      <c r="P57" s="19">
        <v>1</v>
      </c>
      <c r="Q57" s="55">
        <f t="shared" ca="1" si="0"/>
        <v>55.065586223537039</v>
      </c>
      <c r="R57" s="55">
        <f t="shared" ca="1" si="1"/>
        <v>54.877449404564331</v>
      </c>
      <c r="S57" s="55" t="str">
        <f t="shared" ca="1" si="3"/>
        <v/>
      </c>
      <c r="T57" s="19">
        <v>0</v>
      </c>
      <c r="U57" s="20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K57" s="151"/>
      <c r="AL57" s="34"/>
      <c r="AM57" s="34"/>
      <c r="AN57" s="34"/>
      <c r="AO57" s="153"/>
      <c r="AP57" s="153"/>
      <c r="AQ57" s="34"/>
      <c r="AR57" s="34"/>
    </row>
    <row r="58" spans="1:44" x14ac:dyDescent="0.25">
      <c r="A58" s="42">
        <v>53</v>
      </c>
      <c r="B58" s="42" t="s">
        <v>96</v>
      </c>
      <c r="C58" s="13" t="s">
        <v>217</v>
      </c>
      <c r="D58" s="14" t="s">
        <v>162</v>
      </c>
      <c r="E58" s="15">
        <v>22.86</v>
      </c>
      <c r="F58" s="16">
        <v>80.956289999999996</v>
      </c>
      <c r="G58" s="17">
        <v>0.1</v>
      </c>
      <c r="H58" s="49" t="str">
        <v>std1[3.2]_progen#62008</v>
      </c>
      <c r="I58" s="18"/>
      <c r="J58" s="19">
        <v>23</v>
      </c>
      <c r="K58" s="52" t="str">
        <v>1</v>
      </c>
      <c r="L58" s="52">
        <v>1</v>
      </c>
      <c r="M58" s="52">
        <v>0</v>
      </c>
      <c r="N58" s="52">
        <v>0</v>
      </c>
      <c r="O58" s="52">
        <v>0</v>
      </c>
      <c r="P58" s="19">
        <v>1</v>
      </c>
      <c r="Q58" s="55">
        <f t="shared" ca="1" si="0"/>
        <v>3.2123657897190978</v>
      </c>
      <c r="R58" s="55">
        <f t="shared" ca="1" si="1"/>
        <v>3.3729790724530533</v>
      </c>
      <c r="S58" s="55">
        <f t="shared" ca="1" si="3"/>
        <v>1.0038643092872179</v>
      </c>
      <c r="T58" s="19">
        <v>0</v>
      </c>
      <c r="U58" s="20"/>
      <c r="W58" s="4"/>
      <c r="X58" s="2"/>
      <c r="Y58" s="2"/>
      <c r="AA58" s="2"/>
      <c r="AB58" s="2"/>
      <c r="AC58" s="2"/>
      <c r="AD58" s="2"/>
      <c r="AE58" s="2"/>
      <c r="AF58" s="2"/>
      <c r="AG58" s="2"/>
      <c r="AH58" s="2"/>
      <c r="AI58" s="2"/>
      <c r="AK58" s="151"/>
      <c r="AL58" s="34"/>
      <c r="AM58" s="34"/>
      <c r="AN58" s="34"/>
      <c r="AO58" s="153"/>
      <c r="AP58" s="153"/>
      <c r="AQ58" s="34"/>
      <c r="AR58" s="34"/>
    </row>
    <row r="59" spans="1:44" x14ac:dyDescent="0.25">
      <c r="A59" s="42">
        <v>54</v>
      </c>
      <c r="B59" s="42" t="s">
        <v>97</v>
      </c>
      <c r="C59" s="13" t="s">
        <v>217</v>
      </c>
      <c r="D59" s="14" t="s">
        <v>162</v>
      </c>
      <c r="E59" s="15">
        <v>22.721</v>
      </c>
      <c r="F59" s="16">
        <v>80.956289999999996</v>
      </c>
      <c r="G59" s="17">
        <v>0.1</v>
      </c>
      <c r="H59" s="49" t="str">
        <v>std1[3.2]_progen#62008</v>
      </c>
      <c r="I59" s="18"/>
      <c r="J59" s="19">
        <v>23</v>
      </c>
      <c r="K59" s="52" t="str">
        <v>1</v>
      </c>
      <c r="L59" s="52">
        <v>1</v>
      </c>
      <c r="M59" s="52">
        <v>0</v>
      </c>
      <c r="N59" s="52">
        <v>0</v>
      </c>
      <c r="O59" s="52">
        <v>0</v>
      </c>
      <c r="P59" s="19">
        <v>1</v>
      </c>
      <c r="Q59" s="55">
        <f t="shared" ca="1" si="0"/>
        <v>3.5335923551870092</v>
      </c>
      <c r="R59" s="55">
        <f t="shared" ca="1" si="1"/>
        <v>3.3729790724530533</v>
      </c>
      <c r="S59" s="55">
        <f t="shared" ca="1" si="3"/>
        <v>1.1042476109959403</v>
      </c>
      <c r="T59" s="19">
        <v>0</v>
      </c>
      <c r="U59" s="20"/>
      <c r="W59" s="57" t="s">
        <v>151</v>
      </c>
      <c r="AK59" s="151"/>
      <c r="AL59" s="34"/>
      <c r="AM59" s="34"/>
      <c r="AN59" s="34"/>
      <c r="AO59" s="153"/>
      <c r="AP59" s="153"/>
      <c r="AQ59" s="34"/>
      <c r="AR59" s="34"/>
    </row>
    <row r="60" spans="1:44" x14ac:dyDescent="0.25">
      <c r="A60" s="42">
        <v>55</v>
      </c>
      <c r="B60" s="42" t="s">
        <v>98</v>
      </c>
      <c r="C60" s="13" t="s">
        <v>216</v>
      </c>
      <c r="D60" s="14" t="s">
        <v>162</v>
      </c>
      <c r="E60" s="15">
        <v>21.588000000000001</v>
      </c>
      <c r="F60" s="16">
        <v>80.956289999999996</v>
      </c>
      <c r="G60" s="17">
        <v>0.1</v>
      </c>
      <c r="H60" s="49" t="str">
        <v>NFL-176</v>
      </c>
      <c r="I60" s="18"/>
      <c r="J60" s="19">
        <v>24</v>
      </c>
      <c r="K60" s="52" t="str">
        <v>10</v>
      </c>
      <c r="L60" s="52">
        <v>1</v>
      </c>
      <c r="M60" s="52">
        <v>0</v>
      </c>
      <c r="N60" s="52">
        <v>0</v>
      </c>
      <c r="O60" s="52">
        <v>0</v>
      </c>
      <c r="P60" s="19">
        <v>1</v>
      </c>
      <c r="Q60" s="55">
        <f t="shared" ca="1" si="0"/>
        <v>76.84249676636891</v>
      </c>
      <c r="R60" s="55">
        <f t="shared" ca="1" si="1"/>
        <v>78.019298663267719</v>
      </c>
      <c r="S60" s="55" t="str">
        <f t="shared" ca="1" si="3"/>
        <v/>
      </c>
      <c r="T60" s="19">
        <v>0</v>
      </c>
      <c r="U60" s="20"/>
      <c r="W60" s="58" t="s">
        <v>57</v>
      </c>
      <c r="X60" s="59">
        <v>1</v>
      </c>
      <c r="Y60" s="59">
        <v>2</v>
      </c>
      <c r="Z60" s="58">
        <v>3</v>
      </c>
      <c r="AA60" s="60">
        <v>4</v>
      </c>
      <c r="AB60" s="59">
        <v>5</v>
      </c>
      <c r="AC60" s="59">
        <v>6</v>
      </c>
      <c r="AD60" s="58">
        <v>7</v>
      </c>
      <c r="AE60" s="60">
        <v>8</v>
      </c>
      <c r="AF60" s="59">
        <v>9</v>
      </c>
      <c r="AG60" s="59">
        <v>10</v>
      </c>
      <c r="AH60" s="58">
        <v>11</v>
      </c>
      <c r="AI60" s="60">
        <v>12</v>
      </c>
      <c r="AK60" s="151"/>
      <c r="AL60" s="34"/>
      <c r="AM60" s="34"/>
      <c r="AN60" s="34"/>
      <c r="AO60" s="153"/>
      <c r="AP60" s="153"/>
      <c r="AQ60" s="34"/>
      <c r="AR60" s="34"/>
    </row>
    <row r="61" spans="1:44" x14ac:dyDescent="0.25">
      <c r="A61" s="42">
        <v>56</v>
      </c>
      <c r="B61" s="42" t="s">
        <v>99</v>
      </c>
      <c r="C61" s="13" t="s">
        <v>216</v>
      </c>
      <c r="D61" s="14" t="s">
        <v>162</v>
      </c>
      <c r="E61" s="15">
        <v>21.544</v>
      </c>
      <c r="F61" s="16">
        <v>80.956289999999996</v>
      </c>
      <c r="G61" s="17">
        <v>0.1</v>
      </c>
      <c r="H61" s="49" t="str">
        <v>NFL-176</v>
      </c>
      <c r="I61" s="18"/>
      <c r="J61" s="19">
        <v>24</v>
      </c>
      <c r="K61" s="52" t="str">
        <v>10</v>
      </c>
      <c r="L61" s="52">
        <v>1</v>
      </c>
      <c r="M61" s="52">
        <v>0</v>
      </c>
      <c r="N61" s="52">
        <v>0</v>
      </c>
      <c r="O61" s="52">
        <v>0</v>
      </c>
      <c r="P61" s="19">
        <v>1</v>
      </c>
      <c r="Q61" s="55">
        <f t="shared" ca="1" si="0"/>
        <v>79.196100560166528</v>
      </c>
      <c r="R61" s="55">
        <f t="shared" ca="1" si="1"/>
        <v>78.019298663267719</v>
      </c>
      <c r="S61" s="55" t="str">
        <f t="shared" ca="1" si="3"/>
        <v/>
      </c>
      <c r="T61" s="19">
        <v>0</v>
      </c>
      <c r="U61" s="20"/>
      <c r="W61" s="61" t="s">
        <v>22</v>
      </c>
      <c r="X61" s="130">
        <f>IFERROR(AVERAGEIF($J:$J,$J6,$E:$E),"")</f>
        <v>21.5745</v>
      </c>
      <c r="Y61" s="130">
        <f>IFERROR(AVERAGEIF($J:$J,$J7,$E:$E),"")</f>
        <v>21.5745</v>
      </c>
      <c r="Z61" s="130">
        <f>IFERROR(AVERAGEIF($J:$J,$J8,$E:$E),"")</f>
        <v>21.470500000000001</v>
      </c>
      <c r="AA61" s="130">
        <f>IFERROR(AVERAGEIF($J:$J,$J9,$E:$E),"")</f>
        <v>21.470500000000001</v>
      </c>
      <c r="AB61" s="130">
        <f>IFERROR(AVERAGEIF($J:$J,$J10,$E:$E),"")</f>
        <v>13.526499999999999</v>
      </c>
      <c r="AC61" s="130">
        <f>IFERROR(AVERAGEIF($J:$J,$J11,$E:$E),"")</f>
        <v>13.526499999999999</v>
      </c>
      <c r="AD61" s="130">
        <f>IFERROR(AVERAGEIF($J:$J,$J12,$E:$E),"")</f>
        <v>24.225000000000001</v>
      </c>
      <c r="AE61" s="130">
        <f>IFERROR(AVERAGEIF($J:$J,$J13,$E:$E),"")</f>
        <v>24.225000000000001</v>
      </c>
      <c r="AF61" s="130">
        <f>IFERROR(AVERAGEIF($J:$J,$J14,$E:$E),"")</f>
        <v>24.305</v>
      </c>
      <c r="AG61" s="130">
        <f>IFERROR(AVERAGEIF($J:$J,$J15,$E:$E),"")</f>
        <v>24.305</v>
      </c>
      <c r="AH61" s="130">
        <f>IFERROR(AVERAGEIF($J:$J,$J16,$E:$E),"")</f>
        <v>25.305</v>
      </c>
      <c r="AI61" s="131" t="str">
        <f>IFERROR(AVERAGEIF($J:$J,$J17,$E:$E),"")</f>
        <v/>
      </c>
      <c r="AK61" s="151"/>
      <c r="AL61" s="34"/>
      <c r="AM61" s="34"/>
      <c r="AN61" s="34"/>
      <c r="AO61" s="153"/>
      <c r="AP61" s="153"/>
      <c r="AQ61" s="34"/>
      <c r="AR61" s="34"/>
    </row>
    <row r="62" spans="1:44" x14ac:dyDescent="0.25">
      <c r="A62" s="42">
        <v>57</v>
      </c>
      <c r="B62" s="42" t="s">
        <v>100</v>
      </c>
      <c r="C62" s="13" t="s">
        <v>216</v>
      </c>
      <c r="D62" s="14" t="s">
        <v>162</v>
      </c>
      <c r="E62" s="15">
        <v>22.966000000000001</v>
      </c>
      <c r="F62" s="16">
        <v>80.956289999999996</v>
      </c>
      <c r="G62" s="17">
        <v>0.1</v>
      </c>
      <c r="H62" s="49" t="str">
        <v>NFL-184</v>
      </c>
      <c r="I62" s="18"/>
      <c r="J62" s="19">
        <v>25</v>
      </c>
      <c r="K62" s="52" t="str">
        <v>10</v>
      </c>
      <c r="L62" s="52">
        <v>1</v>
      </c>
      <c r="M62" s="52">
        <v>0</v>
      </c>
      <c r="N62" s="52">
        <v>0</v>
      </c>
      <c r="O62" s="52">
        <v>0</v>
      </c>
      <c r="P62" s="19">
        <v>1</v>
      </c>
      <c r="Q62" s="55">
        <f t="shared" ca="1" si="0"/>
        <v>29.871723861230212</v>
      </c>
      <c r="R62" s="55">
        <f t="shared" ca="1" si="1"/>
        <v>28.748713405751808</v>
      </c>
      <c r="S62" s="55" t="str">
        <f t="shared" ca="1" si="3"/>
        <v/>
      </c>
      <c r="T62" s="19">
        <v>0</v>
      </c>
      <c r="U62" s="20"/>
      <c r="W62" s="97" t="s">
        <v>24</v>
      </c>
      <c r="X62" s="130">
        <f>IFERROR(AVERAGEIF($J:$J,$J18,$E:$E),"")</f>
        <v>25.361000000000001</v>
      </c>
      <c r="Y62" s="130">
        <f>IFERROR(AVERAGEIF($J:$J,$J19,$E:$E),"")</f>
        <v>25.361000000000001</v>
      </c>
      <c r="Z62" s="130">
        <f>IFERROR(AVERAGEIF($J:$J,$J20,$E:$E),"")</f>
        <v>23.847000000000001</v>
      </c>
      <c r="AA62" s="130">
        <f>IFERROR(AVERAGEIF($J:$J,$J21,$E:$E),"")</f>
        <v>23.847000000000001</v>
      </c>
      <c r="AB62" s="130">
        <f>IFERROR(AVERAGEIF($J:$J,$J22,$E:$E),"")</f>
        <v>15.774000000000001</v>
      </c>
      <c r="AC62" s="130">
        <f>IFERROR(AVERAGEIF($J:$J,$J23,$E:$E),"")</f>
        <v>15.774000000000001</v>
      </c>
      <c r="AD62" s="130">
        <f>IFERROR(AVERAGEIF($J:$J,$J24,$E:$E),"")</f>
        <v>24.155000000000001</v>
      </c>
      <c r="AE62" s="130">
        <f>IFERROR(AVERAGEIF($J:$J,$J25,$E:$E),"")</f>
        <v>24.155000000000001</v>
      </c>
      <c r="AF62" s="130">
        <f>IFERROR(AVERAGEIF($J:$J,$J26,$E:$E),"")</f>
        <v>25.37</v>
      </c>
      <c r="AG62" s="130">
        <f>IFERROR(AVERAGEIF($J:$J,$J27,$E:$E),"")</f>
        <v>25.37</v>
      </c>
      <c r="AH62" s="130">
        <f>IFERROR(AVERAGEIF($J:$J,$J28,$E:$E),"")</f>
        <v>25.305</v>
      </c>
      <c r="AI62" s="131" t="str">
        <f>IFERROR(AVERAGEIF($J:$J,$J29,$E:$E),"")</f>
        <v/>
      </c>
      <c r="AK62" s="151"/>
      <c r="AL62" s="34"/>
      <c r="AM62" s="34"/>
      <c r="AN62" s="34"/>
      <c r="AO62" s="153"/>
      <c r="AP62" s="153"/>
      <c r="AQ62" s="34"/>
      <c r="AR62" s="34"/>
    </row>
    <row r="63" spans="1:44" x14ac:dyDescent="0.25">
      <c r="A63" s="42">
        <v>58</v>
      </c>
      <c r="B63" s="42" t="s">
        <v>101</v>
      </c>
      <c r="C63" s="13" t="s">
        <v>216</v>
      </c>
      <c r="D63" s="14" t="s">
        <v>162</v>
      </c>
      <c r="E63" s="15">
        <v>23.08</v>
      </c>
      <c r="F63" s="16">
        <v>80.956289999999996</v>
      </c>
      <c r="G63" s="17">
        <v>0.1</v>
      </c>
      <c r="H63" s="49" t="str">
        <v>NFL-184</v>
      </c>
      <c r="I63" s="18"/>
      <c r="J63" s="19">
        <v>25</v>
      </c>
      <c r="K63" s="52" t="str">
        <v>10</v>
      </c>
      <c r="L63" s="52">
        <v>1</v>
      </c>
      <c r="M63" s="52">
        <v>0</v>
      </c>
      <c r="N63" s="52">
        <v>0</v>
      </c>
      <c r="O63" s="52">
        <v>0</v>
      </c>
      <c r="P63" s="19">
        <v>1</v>
      </c>
      <c r="Q63" s="55">
        <f t="shared" ca="1" si="0"/>
        <v>27.6257029502734</v>
      </c>
      <c r="R63" s="55">
        <f t="shared" ca="1" si="1"/>
        <v>28.748713405751808</v>
      </c>
      <c r="S63" s="55" t="str">
        <f t="shared" ca="1" si="3"/>
        <v/>
      </c>
      <c r="T63" s="19">
        <v>0</v>
      </c>
      <c r="U63" s="20"/>
      <c r="W63" s="61" t="s">
        <v>26</v>
      </c>
      <c r="X63" s="130">
        <f>IFERROR(AVERAGEIF($J:$J,$J30,$E:$E),"")</f>
        <v>23.625499999999999</v>
      </c>
      <c r="Y63" s="130">
        <f>IFERROR(AVERAGEIF($J:$J,$J31,$E:$E),"")</f>
        <v>23.625499999999999</v>
      </c>
      <c r="Z63" s="130">
        <f>IFERROR(AVERAGEIF($J:$J,$J32,$E:$E),"")</f>
        <v>22.641500000000001</v>
      </c>
      <c r="AA63" s="130">
        <f>IFERROR(AVERAGEIF($J:$J,$J33,$E:$E),"")</f>
        <v>22.641500000000001</v>
      </c>
      <c r="AB63" s="130">
        <f>IFERROR(AVERAGEIF($J:$J,$J34,$E:$E),"")</f>
        <v>18.174500000000002</v>
      </c>
      <c r="AC63" s="130">
        <f>IFERROR(AVERAGEIF($J:$J,$J35,$E:$E),"")</f>
        <v>18.174500000000002</v>
      </c>
      <c r="AD63" s="130">
        <f>IFERROR(AVERAGEIF($J:$J,$J36,$E:$E),"")</f>
        <v>24.064500000000002</v>
      </c>
      <c r="AE63" s="130">
        <f>IFERROR(AVERAGEIF($J:$J,$J37,$E:$E),"")</f>
        <v>24.064500000000002</v>
      </c>
      <c r="AF63" s="130">
        <f>IFERROR(AVERAGEIF($J:$J,$J38,$E:$E),"")</f>
        <v>25.246000000000002</v>
      </c>
      <c r="AG63" s="130">
        <f>IFERROR(AVERAGEIF($J:$J,$J39,$E:$E),"")</f>
        <v>25.246000000000002</v>
      </c>
      <c r="AH63" s="130">
        <f>IFERROR(AVERAGEIF($J:$J,$J40,$E:$E),"")</f>
        <v>24.6</v>
      </c>
      <c r="AI63" s="131" t="str">
        <f>IFERROR(AVERAGEIF($J:$J,$J41,$E:$E),"")</f>
        <v/>
      </c>
      <c r="AK63" s="151"/>
      <c r="AL63" s="34"/>
      <c r="AM63" s="34"/>
      <c r="AN63" s="34"/>
      <c r="AO63" s="153"/>
      <c r="AP63" s="153"/>
      <c r="AQ63" s="34"/>
      <c r="AR63" s="34"/>
    </row>
    <row r="64" spans="1:44" x14ac:dyDescent="0.25">
      <c r="A64" s="42">
        <v>59</v>
      </c>
      <c r="B64" s="42" t="s">
        <v>102</v>
      </c>
      <c r="C64" s="13" t="s">
        <v>215</v>
      </c>
      <c r="D64" s="14" t="s">
        <v>162</v>
      </c>
      <c r="E64" s="15">
        <v>21.302</v>
      </c>
      <c r="F64" s="16">
        <v>80.956289999999996</v>
      </c>
      <c r="G64" s="17">
        <v>0.1</v>
      </c>
      <c r="H64" s="49" t="str">
        <v>NFL-QC-H</v>
      </c>
      <c r="I64" s="18"/>
      <c r="J64" s="19">
        <v>43</v>
      </c>
      <c r="K64" s="52" t="str">
        <v>10</v>
      </c>
      <c r="L64" s="52">
        <v>1</v>
      </c>
      <c r="M64" s="52">
        <v>0</v>
      </c>
      <c r="N64" s="52">
        <v>0</v>
      </c>
      <c r="O64" s="52">
        <v>0</v>
      </c>
      <c r="P64" s="19">
        <v>1</v>
      </c>
      <c r="Q64" s="55">
        <f t="shared" ca="1" si="0"/>
        <v>93.490313997311574</v>
      </c>
      <c r="R64" s="55">
        <f t="shared" ca="1" si="1"/>
        <v>93.490313997311574</v>
      </c>
      <c r="S64" s="55" t="str">
        <f t="shared" ca="1" si="3"/>
        <v/>
      </c>
      <c r="T64" s="19">
        <v>0</v>
      </c>
      <c r="U64" s="20"/>
      <c r="W64" s="97" t="s">
        <v>28</v>
      </c>
      <c r="X64" s="130">
        <f>IFERROR(AVERAGEIF($J:$J,$J42,$E:$E),"")</f>
        <v>25.363500000000002</v>
      </c>
      <c r="Y64" s="130">
        <f>IFERROR(AVERAGEIF($J:$J,$J43,$E:$E),"")</f>
        <v>25.363500000000002</v>
      </c>
      <c r="Z64" s="130">
        <f>IFERROR(AVERAGEIF($J:$J,$J44,$E:$E),"")</f>
        <v>22.414000000000001</v>
      </c>
      <c r="AA64" s="130">
        <f>IFERROR(AVERAGEIF($J:$J,$J45,$E:$E),"")</f>
        <v>22.414000000000001</v>
      </c>
      <c r="AB64" s="130">
        <f>IFERROR(AVERAGEIF($J:$J,$J46,$E:$E),"")</f>
        <v>20.526499999999999</v>
      </c>
      <c r="AC64" s="130">
        <f>IFERROR(AVERAGEIF($J:$J,$J47,$E:$E),"")</f>
        <v>20.526499999999999</v>
      </c>
      <c r="AD64" s="130">
        <f>IFERROR(AVERAGEIF($J:$J,$J48,$E:$E),"")</f>
        <v>21.37</v>
      </c>
      <c r="AE64" s="130">
        <f>IFERROR(AVERAGEIF($J:$J,$J49,$E:$E),"")</f>
        <v>21.37</v>
      </c>
      <c r="AF64" s="130">
        <f>IFERROR(AVERAGEIF($J:$J,$J50,$E:$E),"")</f>
        <v>26.415500000000002</v>
      </c>
      <c r="AG64" s="130">
        <f>IFERROR(AVERAGEIF($J:$J,$J51,$E:$E),"")</f>
        <v>26.415500000000002</v>
      </c>
      <c r="AH64" s="130">
        <f>IFERROR(AVERAGEIF($J:$J,$J52,$E:$E),"")</f>
        <v>24.6</v>
      </c>
      <c r="AI64" s="131" t="str">
        <f>IFERROR(AVERAGEIF($J:$J,$J53,$E:$E),"")</f>
        <v/>
      </c>
      <c r="AK64" s="151"/>
      <c r="AL64" s="34"/>
      <c r="AM64" s="34"/>
      <c r="AN64" s="34"/>
      <c r="AO64" s="153"/>
      <c r="AP64" s="153"/>
      <c r="AQ64" s="34"/>
      <c r="AR64" s="34"/>
    </row>
    <row r="65" spans="1:44" x14ac:dyDescent="0.25">
      <c r="A65" s="43">
        <v>60</v>
      </c>
      <c r="B65" s="42" t="s">
        <v>103</v>
      </c>
      <c r="C65" s="13" t="s">
        <v>218</v>
      </c>
      <c r="D65" s="14" t="s">
        <v>162</v>
      </c>
      <c r="E65" s="15" t="s">
        <v>164</v>
      </c>
      <c r="F65" s="16">
        <v>0</v>
      </c>
      <c r="G65" s="17">
        <v>0.1</v>
      </c>
      <c r="H65" s="49" t="str">
        <v>unused</v>
      </c>
      <c r="I65" s="18"/>
      <c r="J65" s="19">
        <v>45</v>
      </c>
      <c r="K65" s="52" t="str">
        <v>1</v>
      </c>
      <c r="L65" s="52">
        <v>1</v>
      </c>
      <c r="M65" s="52">
        <v>0</v>
      </c>
      <c r="N65" s="52">
        <v>0</v>
      </c>
      <c r="O65" s="52">
        <v>0</v>
      </c>
      <c r="P65" s="19">
        <v>1</v>
      </c>
      <c r="Q65" s="55" t="str">
        <f t="shared" si="0"/>
        <v/>
      </c>
      <c r="R65" s="55" t="str">
        <f t="shared" si="1"/>
        <v/>
      </c>
      <c r="S65" s="55" t="str">
        <f t="shared" si="3"/>
        <v/>
      </c>
      <c r="T65" s="19">
        <v>1</v>
      </c>
      <c r="U65" s="20"/>
      <c r="W65" s="61" t="s">
        <v>30</v>
      </c>
      <c r="X65" s="130">
        <f>IFERROR(AVERAGEIF($J:$J,$J54,$E:$E),"")</f>
        <v>25.257999999999999</v>
      </c>
      <c r="Y65" s="130">
        <f>IFERROR(AVERAGEIF($J:$J,$J55,$E:$E),"")</f>
        <v>25.257999999999999</v>
      </c>
      <c r="Z65" s="130">
        <f>IFERROR(AVERAGEIF($J:$J,$J56,$E:$E),"")</f>
        <v>22.079000000000001</v>
      </c>
      <c r="AA65" s="130">
        <f>IFERROR(AVERAGEIF($J:$J,$J57,$E:$E),"")</f>
        <v>22.079000000000001</v>
      </c>
      <c r="AB65" s="130">
        <f>IFERROR(AVERAGEIF($J:$J,$J58,$E:$E),"")</f>
        <v>22.790500000000002</v>
      </c>
      <c r="AC65" s="130">
        <f>IFERROR(AVERAGEIF($J:$J,$J59,$E:$E),"")</f>
        <v>22.790500000000002</v>
      </c>
      <c r="AD65" s="130">
        <f>IFERROR(AVERAGEIF($J:$J,$J60,$E:$E),"")</f>
        <v>21.566000000000003</v>
      </c>
      <c r="AE65" s="130">
        <f>IFERROR(AVERAGEIF($J:$J,$J61,$E:$E),"")</f>
        <v>21.566000000000003</v>
      </c>
      <c r="AF65" s="130">
        <f>IFERROR(AVERAGEIF($J:$J,$J62,$E:$E),"")</f>
        <v>23.023</v>
      </c>
      <c r="AG65" s="130">
        <f>IFERROR(AVERAGEIF($J:$J,$J63,$E:$E),"")</f>
        <v>23.023</v>
      </c>
      <c r="AH65" s="130">
        <f>IFERROR(AVERAGEIF($J:$J,$J64,$E:$E),"")</f>
        <v>21.302</v>
      </c>
      <c r="AI65" s="131" t="str">
        <f>IFERROR(AVERAGEIF($J:$J,$J65,$E:$E),"")</f>
        <v/>
      </c>
      <c r="AK65" s="151"/>
      <c r="AL65" s="34"/>
      <c r="AM65" s="34"/>
      <c r="AN65" s="34"/>
      <c r="AO65" s="153"/>
      <c r="AP65" s="153"/>
      <c r="AQ65" s="34"/>
      <c r="AR65" s="34"/>
    </row>
    <row r="66" spans="1:44" x14ac:dyDescent="0.25">
      <c r="A66" s="42">
        <v>61</v>
      </c>
      <c r="B66" s="41" t="s">
        <v>104</v>
      </c>
      <c r="C66" s="5" t="s">
        <v>216</v>
      </c>
      <c r="D66" s="6" t="s">
        <v>162</v>
      </c>
      <c r="E66" s="7">
        <v>24.081</v>
      </c>
      <c r="F66" s="8">
        <v>80.956289999999996</v>
      </c>
      <c r="G66" s="9">
        <v>0.1</v>
      </c>
      <c r="H66" s="48" t="str" cm="1">
        <f t="array" ref="H66:H77">TRANSPOSE(X11:AI11)</f>
        <v>NFL-161</v>
      </c>
      <c r="I66" s="10"/>
      <c r="J66" s="11">
        <v>26</v>
      </c>
      <c r="K66" s="51" t="str" cm="1">
        <f t="array" ref="K66:K77">TRANSPOSE(RIGHT(LEFT(X22:AI22,FIND(";",X22:AI22)-1),LEN(LEFT(X22:AI22,FIND(";",X22:AI22)-1))-1))</f>
        <v>10</v>
      </c>
      <c r="L66" s="51" cm="1">
        <f t="array" ref="L66:L77">TRANSPOSE(IF(ISNUMBER(SEARCH("v1",X22:AI22)),1,0))</f>
        <v>1</v>
      </c>
      <c r="M66" s="51" cm="1">
        <f t="array" ref="M66:M77">TRANSPOSE(IF(ISNUMBER(SEARCH("v2",X22:AI22)),1,0))</f>
        <v>0</v>
      </c>
      <c r="N66" s="51" cm="1">
        <f t="array" ref="N66:N77">TRANSPOSE(IF(ISNUMBER(SEARCH("v3",X22:AI22)),1,0))</f>
        <v>0</v>
      </c>
      <c r="O66" s="51" cm="1">
        <f t="array" ref="O66:O77">TRANSPOSE(IF(ISNUMBER(SEARCH("v4",X22:AI22)),1,0))</f>
        <v>0</v>
      </c>
      <c r="P66" s="11">
        <v>1</v>
      </c>
      <c r="Q66" s="54">
        <f t="shared" ca="1" si="0"/>
        <v>13.907059397894177</v>
      </c>
      <c r="R66" s="54">
        <f t="shared" ca="1" si="1"/>
        <v>13.43736132746233</v>
      </c>
      <c r="S66" s="54" t="str">
        <f t="shared" ca="1" si="3"/>
        <v/>
      </c>
      <c r="T66" s="11">
        <v>0</v>
      </c>
      <c r="U66" s="12"/>
      <c r="W66" s="97" t="s">
        <v>32</v>
      </c>
      <c r="X66" s="130">
        <f>IFERROR(AVERAGEIF($J:$J,$J66,$E:$E),"")</f>
        <v>24.131999999999998</v>
      </c>
      <c r="Y66" s="130">
        <f>IFERROR(AVERAGEIF($J:$J,$J67,$E:$E),"")</f>
        <v>24.131999999999998</v>
      </c>
      <c r="Z66" s="130">
        <f>IFERROR(AVERAGEIF($J:$J,$J68,$E:$E),"")</f>
        <v>21.682000000000002</v>
      </c>
      <c r="AA66" s="130">
        <f>IFERROR(AVERAGEIF($J:$J,$J69,$E:$E),"")</f>
        <v>21.682000000000002</v>
      </c>
      <c r="AB66" s="130">
        <f>IFERROR(AVERAGEIF($J:$J,$J70,$E:$E),"")</f>
        <v>25.2745</v>
      </c>
      <c r="AC66" s="130">
        <f>IFERROR(AVERAGEIF($J:$J,$J71,$E:$E),"")</f>
        <v>25.2745</v>
      </c>
      <c r="AD66" s="130">
        <f>IFERROR(AVERAGEIF($J:$J,$J72,$E:$E),"")</f>
        <v>24.853000000000002</v>
      </c>
      <c r="AE66" s="130">
        <f>IFERROR(AVERAGEIF($J:$J,$J73,$E:$E),"")</f>
        <v>24.853000000000002</v>
      </c>
      <c r="AF66" s="130">
        <f>IFERROR(AVERAGEIF($J:$J,$J74,$E:$E),"")</f>
        <v>23.670999999999999</v>
      </c>
      <c r="AG66" s="130">
        <f>IFERROR(AVERAGEIF($J:$J,$J75,$E:$E),"")</f>
        <v>23.670999999999999</v>
      </c>
      <c r="AH66" s="130">
        <f>IFERROR(AVERAGEIF($J:$J,$J76,$E:$E),"")</f>
        <v>21.302</v>
      </c>
      <c r="AI66" s="131" t="str">
        <f>IFERROR(AVERAGEIF($J:$J,$J77,$E:$E),"")</f>
        <v/>
      </c>
      <c r="AK66" s="151"/>
      <c r="AL66" s="34"/>
      <c r="AM66" s="34"/>
      <c r="AN66" s="34"/>
      <c r="AO66" s="153"/>
      <c r="AP66" s="153"/>
      <c r="AQ66" s="34"/>
      <c r="AR66" s="34"/>
    </row>
    <row r="67" spans="1:44" x14ac:dyDescent="0.25">
      <c r="A67" s="42">
        <v>62</v>
      </c>
      <c r="B67" s="42" t="s">
        <v>105</v>
      </c>
      <c r="C67" s="13" t="s">
        <v>216</v>
      </c>
      <c r="D67" s="14" t="s">
        <v>162</v>
      </c>
      <c r="E67" s="15">
        <v>24.183</v>
      </c>
      <c r="F67" s="16">
        <v>80.956289999999996</v>
      </c>
      <c r="G67" s="17">
        <v>0.1</v>
      </c>
      <c r="H67" s="49" t="str">
        <v>NFL-161</v>
      </c>
      <c r="I67" s="18"/>
      <c r="J67" s="19">
        <v>26</v>
      </c>
      <c r="K67" s="52" t="str">
        <v>10</v>
      </c>
      <c r="L67" s="52">
        <v>1</v>
      </c>
      <c r="M67" s="52">
        <v>0</v>
      </c>
      <c r="N67" s="52">
        <v>0</v>
      </c>
      <c r="O67" s="52">
        <v>0</v>
      </c>
      <c r="P67" s="19">
        <v>1</v>
      </c>
      <c r="Q67" s="55">
        <f t="shared" ca="1" si="0"/>
        <v>12.967663257030486</v>
      </c>
      <c r="R67" s="55">
        <f t="shared" ca="1" si="1"/>
        <v>13.43736132746233</v>
      </c>
      <c r="S67" s="55" t="str">
        <f t="shared" ca="1" si="3"/>
        <v/>
      </c>
      <c r="T67" s="19">
        <v>0</v>
      </c>
      <c r="U67" s="20"/>
      <c r="W67" s="61" t="s">
        <v>34</v>
      </c>
      <c r="X67" s="130">
        <f>IFERROR(AVERAGEIF($J:$J,$J78,$E:$E),"")</f>
        <v>24.115000000000002</v>
      </c>
      <c r="Y67" s="130">
        <f>IFERROR(AVERAGEIF($J:$J,$J79,$E:$E),"")</f>
        <v>24.115000000000002</v>
      </c>
      <c r="Z67" s="130">
        <f>IFERROR(AVERAGEIF($J:$J,$J80,$E:$E),"")</f>
        <v>22.706</v>
      </c>
      <c r="AA67" s="130">
        <f>IFERROR(AVERAGEIF($J:$J,$J81,$E:$E),"")</f>
        <v>22.706</v>
      </c>
      <c r="AB67" s="130">
        <f>IFERROR(AVERAGEIF($J:$J,$J82,$E:$E),"")</f>
        <v>27.561999999999998</v>
      </c>
      <c r="AC67" s="130">
        <f>IFERROR(AVERAGEIF($J:$J,$J83,$E:$E),"")</f>
        <v>27.561999999999998</v>
      </c>
      <c r="AD67" s="130">
        <f>IFERROR(AVERAGEIF($J:$J,$J84,$E:$E),"")</f>
        <v>24.608000000000001</v>
      </c>
      <c r="AE67" s="130">
        <f>IFERROR(AVERAGEIF($J:$J,$J85,$E:$E),"")</f>
        <v>24.608000000000001</v>
      </c>
      <c r="AF67" s="130">
        <f>IFERROR(AVERAGEIF($J:$J,$J86,$E:$E),"")</f>
        <v>25.668500000000002</v>
      </c>
      <c r="AG67" s="130">
        <f>IFERROR(AVERAGEIF($J:$J,$J87,$E:$E),"")</f>
        <v>25.668500000000002</v>
      </c>
      <c r="AH67" s="130">
        <f>IFERROR(AVERAGEIF($J:$J,$J88,$E:$E),"")</f>
        <v>21.5275</v>
      </c>
      <c r="AI67" s="131" t="str">
        <f>IFERROR(AVERAGEIF($J:$J,$J89,$E:$E),"")</f>
        <v/>
      </c>
      <c r="AK67" s="151"/>
      <c r="AL67" s="34"/>
      <c r="AM67" s="34"/>
      <c r="AN67" s="34"/>
      <c r="AO67" s="153"/>
      <c r="AP67" s="153"/>
      <c r="AQ67" s="34"/>
      <c r="AR67" s="34"/>
    </row>
    <row r="68" spans="1:44" x14ac:dyDescent="0.25">
      <c r="A68" s="42">
        <v>63</v>
      </c>
      <c r="B68" s="42" t="s">
        <v>106</v>
      </c>
      <c r="C68" s="13" t="s">
        <v>216</v>
      </c>
      <c r="D68" s="14" t="s">
        <v>162</v>
      </c>
      <c r="E68" s="15">
        <v>21.696000000000002</v>
      </c>
      <c r="F68" s="16">
        <v>80.956289999999996</v>
      </c>
      <c r="G68" s="17">
        <v>0.1</v>
      </c>
      <c r="H68" s="49" t="str">
        <v>NFL-169</v>
      </c>
      <c r="I68" s="18"/>
      <c r="J68" s="19">
        <v>27</v>
      </c>
      <c r="K68" s="52" t="str">
        <v>10</v>
      </c>
      <c r="L68" s="52">
        <v>1</v>
      </c>
      <c r="M68" s="52">
        <v>0</v>
      </c>
      <c r="N68" s="52">
        <v>0</v>
      </c>
      <c r="O68" s="52">
        <v>0</v>
      </c>
      <c r="P68" s="19">
        <v>1</v>
      </c>
      <c r="Q68" s="55">
        <f t="shared" ca="1" si="0"/>
        <v>71.357758710566173</v>
      </c>
      <c r="R68" s="55">
        <f t="shared" ca="1" si="1"/>
        <v>72.049360973240397</v>
      </c>
      <c r="S68" s="55" t="str">
        <f t="shared" ca="1" si="3"/>
        <v/>
      </c>
      <c r="T68" s="19">
        <v>0</v>
      </c>
      <c r="U68" s="20"/>
      <c r="W68" s="97" t="s">
        <v>36</v>
      </c>
      <c r="X68" s="132">
        <f>IFERROR(AVERAGEIF($J:$J,$J90,$E:$E),"")</f>
        <v>23.621000000000002</v>
      </c>
      <c r="Y68" s="132">
        <f>IFERROR(AVERAGEIF($J:$J,$J91,$E:$E),"")</f>
        <v>23.621000000000002</v>
      </c>
      <c r="Z68" s="132">
        <f>IFERROR(AVERAGEIF($J:$J,$J92,$E:$E),"")</f>
        <v>22.2395</v>
      </c>
      <c r="AA68" s="132">
        <f>IFERROR(AVERAGEIF($J:$J,$J93,$E:$E),"")</f>
        <v>22.2395</v>
      </c>
      <c r="AB68" s="132">
        <f>IFERROR(AVERAGEIF($J:$J,$J94,$E:$E),"")</f>
        <v>32.873000000000005</v>
      </c>
      <c r="AC68" s="132">
        <f>IFERROR(AVERAGEIF($J:$J,$J95,$E:$E),"")</f>
        <v>32.873000000000005</v>
      </c>
      <c r="AD68" s="132">
        <f>IFERROR(AVERAGEIF($J:$J,$J96,$E:$E),"")</f>
        <v>24.91</v>
      </c>
      <c r="AE68" s="132">
        <f>IFERROR(AVERAGEIF($J:$J,$J97,$E:$E),"")</f>
        <v>24.91</v>
      </c>
      <c r="AF68" s="132">
        <f>IFERROR(AVERAGEIF($J:$J,$J98,$E:$E),"")</f>
        <v>24.401499999999999</v>
      </c>
      <c r="AG68" s="132">
        <f>IFERROR(AVERAGEIF($J:$J,$J99,$E:$E),"")</f>
        <v>24.401499999999999</v>
      </c>
      <c r="AH68" s="132">
        <f>IFERROR(AVERAGEIF($J:$J,$J100,$E:$E),"")</f>
        <v>21.5275</v>
      </c>
      <c r="AI68" s="133" t="str">
        <f>IFERROR(AVERAGEIF($J:$J,$J101,$E:$E),"")</f>
        <v/>
      </c>
      <c r="AK68" s="151"/>
      <c r="AL68" s="34"/>
      <c r="AM68" s="34"/>
      <c r="AN68" s="34"/>
      <c r="AO68" s="153"/>
      <c r="AP68" s="153"/>
      <c r="AQ68" s="34"/>
      <c r="AR68" s="34"/>
    </row>
    <row r="69" spans="1:44" x14ac:dyDescent="0.25">
      <c r="A69" s="42">
        <v>64</v>
      </c>
      <c r="B69" s="42" t="s">
        <v>107</v>
      </c>
      <c r="C69" s="13" t="s">
        <v>216</v>
      </c>
      <c r="D69" s="14" t="s">
        <v>162</v>
      </c>
      <c r="E69" s="15">
        <v>21.667999999999999</v>
      </c>
      <c r="F69" s="16">
        <v>80.956289999999996</v>
      </c>
      <c r="G69" s="17">
        <v>0.1</v>
      </c>
      <c r="H69" s="49" t="str">
        <v>NFL-169</v>
      </c>
      <c r="I69" s="18"/>
      <c r="J69" s="19">
        <v>27</v>
      </c>
      <c r="K69" s="52" t="str">
        <v>10</v>
      </c>
      <c r="L69" s="52">
        <v>1</v>
      </c>
      <c r="M69" s="52">
        <v>0</v>
      </c>
      <c r="N69" s="52">
        <v>0</v>
      </c>
      <c r="O69" s="52">
        <v>0</v>
      </c>
      <c r="P69" s="19">
        <v>1</v>
      </c>
      <c r="Q69" s="55">
        <f t="shared" ca="1" si="0"/>
        <v>72.740963235914634</v>
      </c>
      <c r="R69" s="55">
        <f t="shared" ca="1" si="1"/>
        <v>72.049360973240397</v>
      </c>
      <c r="S69" s="55" t="str">
        <f t="shared" ca="1" si="3"/>
        <v/>
      </c>
      <c r="T69" s="19">
        <v>0</v>
      </c>
      <c r="U69" s="20"/>
      <c r="W69" s="4"/>
      <c r="X69" s="2"/>
      <c r="Y69" s="2"/>
      <c r="AA69" s="2"/>
      <c r="AB69" s="2"/>
      <c r="AC69" s="2"/>
      <c r="AD69" s="2"/>
      <c r="AE69" s="2"/>
      <c r="AF69" s="2"/>
      <c r="AG69" s="2"/>
      <c r="AH69" s="2"/>
      <c r="AI69" s="2"/>
      <c r="AK69" s="151"/>
      <c r="AL69" s="34"/>
      <c r="AM69" s="34"/>
      <c r="AN69" s="34"/>
      <c r="AO69" s="153"/>
      <c r="AP69" s="153"/>
      <c r="AQ69" s="34"/>
      <c r="AR69" s="34"/>
    </row>
    <row r="70" spans="1:44" x14ac:dyDescent="0.25">
      <c r="A70" s="42">
        <v>65</v>
      </c>
      <c r="B70" s="42" t="s">
        <v>108</v>
      </c>
      <c r="C70" s="13" t="s">
        <v>217</v>
      </c>
      <c r="D70" s="14" t="s">
        <v>162</v>
      </c>
      <c r="E70" s="15">
        <v>25.276</v>
      </c>
      <c r="F70" s="16">
        <v>80.956289999999996</v>
      </c>
      <c r="G70" s="17">
        <v>0.1</v>
      </c>
      <c r="H70" s="49" t="str">
        <v>std1[0.64]_progen#62008</v>
      </c>
      <c r="I70" s="18"/>
      <c r="J70" s="19">
        <v>28</v>
      </c>
      <c r="K70" s="52" t="str">
        <v>1</v>
      </c>
      <c r="L70" s="52">
        <v>1</v>
      </c>
      <c r="M70" s="52">
        <v>0</v>
      </c>
      <c r="N70" s="52">
        <v>0</v>
      </c>
      <c r="O70" s="52">
        <v>0</v>
      </c>
      <c r="P70" s="19">
        <v>1</v>
      </c>
      <c r="Q70" s="55">
        <f t="shared" ref="Q70:Q89" ca="1" si="10">IF(E70="Undetermined", "", IF(T70=1, "#N/A", IF(P70=1, K70*(10^((E70-$Y$54)/$Y$53)), IF(P70=2, K70*(10^((E70-$Z$54)/$Z$53)), IF(P70=3, K70*(10^((E70-$AA$54)/$AA$53)), IF(P70=4, K70*(10^((E70-$AB$54)/$AB$53)), IF(P70=5, K70*(10^((E70-$AC$54)/$AC$53)), IF(P70=6, K70*(10^((E70-$AD$54)/$AD$53)), "invalid std"))))))))</f>
        <v>0.61289758956656226</v>
      </c>
      <c r="R70" s="55">
        <f t="shared" ref="R70:R91" ca="1" si="11">IFERROR(AVERAGEIF(J:J,J70,Q:Q),"")</f>
        <v>0.61352860138755627</v>
      </c>
      <c r="S70" s="55">
        <f t="shared" ref="S70:S101" ca="1" si="12">IFERROR(Q70/MID(H70,FIND("[",H70)+1,FIND("]",H70)-FIND("[",H70)-1),"")</f>
        <v>0.95765248369775346</v>
      </c>
      <c r="T70" s="19">
        <v>0</v>
      </c>
      <c r="U70" s="20"/>
      <c r="W70" s="4"/>
      <c r="X70" s="2"/>
      <c r="Y70" s="2"/>
      <c r="AA70" s="2"/>
      <c r="AB70" s="2"/>
      <c r="AC70" s="2"/>
      <c r="AD70" s="2"/>
      <c r="AE70" s="2"/>
      <c r="AF70" s="2"/>
      <c r="AG70" s="2"/>
      <c r="AH70" s="2"/>
      <c r="AI70" s="2"/>
      <c r="AK70" s="151"/>
      <c r="AL70" s="34"/>
      <c r="AM70" s="34"/>
      <c r="AN70" s="34"/>
      <c r="AO70" s="153"/>
      <c r="AP70" s="153"/>
      <c r="AQ70" s="34"/>
      <c r="AR70" s="34"/>
    </row>
    <row r="71" spans="1:44" x14ac:dyDescent="0.25">
      <c r="A71" s="42">
        <v>66</v>
      </c>
      <c r="B71" s="42" t="s">
        <v>109</v>
      </c>
      <c r="C71" s="13" t="s">
        <v>217</v>
      </c>
      <c r="D71" s="14" t="s">
        <v>162</v>
      </c>
      <c r="E71" s="15">
        <v>25.273</v>
      </c>
      <c r="F71" s="16">
        <v>80.956289999999996</v>
      </c>
      <c r="G71" s="17">
        <v>0.1</v>
      </c>
      <c r="H71" s="49" t="str">
        <v>std1[0.64]_progen#62008</v>
      </c>
      <c r="I71" s="18"/>
      <c r="J71" s="19">
        <v>28</v>
      </c>
      <c r="K71" s="52" t="str">
        <v>1</v>
      </c>
      <c r="L71" s="52">
        <v>1</v>
      </c>
      <c r="M71" s="52">
        <v>0</v>
      </c>
      <c r="N71" s="52">
        <v>0</v>
      </c>
      <c r="O71" s="52">
        <v>0</v>
      </c>
      <c r="P71" s="19">
        <v>1</v>
      </c>
      <c r="Q71" s="55">
        <f t="shared" ca="1" si="10"/>
        <v>0.61415961320855028</v>
      </c>
      <c r="R71" s="55">
        <f t="shared" ca="1" si="11"/>
        <v>0.61352860138755627</v>
      </c>
      <c r="S71" s="55">
        <f t="shared" ca="1" si="12"/>
        <v>0.95962439563835977</v>
      </c>
      <c r="T71" s="19">
        <v>0</v>
      </c>
      <c r="U71" s="20"/>
      <c r="W71" s="57" t="s">
        <v>150</v>
      </c>
      <c r="X71" s="62"/>
      <c r="Y71" s="2"/>
      <c r="AA71" s="2"/>
      <c r="AB71" s="2"/>
      <c r="AC71" s="2"/>
      <c r="AD71" s="2"/>
      <c r="AE71" s="2"/>
      <c r="AF71" s="2"/>
      <c r="AG71" s="2"/>
      <c r="AH71" s="2"/>
      <c r="AI71" s="2"/>
      <c r="AK71" s="151"/>
      <c r="AL71" s="34"/>
      <c r="AM71" s="34"/>
      <c r="AN71" s="34"/>
      <c r="AO71" s="153"/>
      <c r="AP71" s="153"/>
      <c r="AQ71" s="34"/>
      <c r="AR71" s="34"/>
    </row>
    <row r="72" spans="1:44" x14ac:dyDescent="0.25">
      <c r="A72" s="42">
        <v>67</v>
      </c>
      <c r="B72" s="42" t="s">
        <v>110</v>
      </c>
      <c r="C72" s="13" t="s">
        <v>216</v>
      </c>
      <c r="D72" s="14" t="s">
        <v>162</v>
      </c>
      <c r="E72" s="15">
        <v>24.946999999999999</v>
      </c>
      <c r="F72" s="16">
        <v>80.956289999999996</v>
      </c>
      <c r="G72" s="17">
        <v>0.1</v>
      </c>
      <c r="H72" s="49" t="str">
        <v>NFL-177</v>
      </c>
      <c r="I72" s="18"/>
      <c r="J72" s="19">
        <v>29</v>
      </c>
      <c r="K72" s="52" t="str">
        <v>10</v>
      </c>
      <c r="L72" s="52">
        <v>1</v>
      </c>
      <c r="M72" s="52">
        <v>0</v>
      </c>
      <c r="N72" s="52">
        <v>0</v>
      </c>
      <c r="O72" s="52">
        <v>0</v>
      </c>
      <c r="P72" s="19">
        <v>1</v>
      </c>
      <c r="Q72" s="55">
        <f t="shared" ca="1" si="10"/>
        <v>7.6799362475210042</v>
      </c>
      <c r="R72" s="55">
        <f t="shared" ca="1" si="11"/>
        <v>8.2082464906456032</v>
      </c>
      <c r="S72" s="55" t="str">
        <f t="shared" ca="1" si="12"/>
        <v/>
      </c>
      <c r="T72" s="19">
        <v>0</v>
      </c>
      <c r="U72" s="20"/>
      <c r="W72" s="58" t="s">
        <v>57</v>
      </c>
      <c r="X72" s="59">
        <v>1</v>
      </c>
      <c r="Y72" s="59">
        <v>2</v>
      </c>
      <c r="Z72" s="58">
        <v>3</v>
      </c>
      <c r="AA72" s="60">
        <v>4</v>
      </c>
      <c r="AB72" s="59">
        <v>5</v>
      </c>
      <c r="AC72" s="59">
        <v>6</v>
      </c>
      <c r="AD72" s="58">
        <v>7</v>
      </c>
      <c r="AE72" s="60">
        <v>8</v>
      </c>
      <c r="AF72" s="59">
        <v>9</v>
      </c>
      <c r="AG72" s="59">
        <v>10</v>
      </c>
      <c r="AH72" s="58">
        <v>11</v>
      </c>
      <c r="AI72" s="60">
        <v>12</v>
      </c>
      <c r="AK72" s="151"/>
      <c r="AL72" s="34"/>
      <c r="AM72" s="34"/>
      <c r="AN72" s="34"/>
      <c r="AO72" s="153"/>
      <c r="AP72" s="153"/>
      <c r="AQ72" s="34"/>
      <c r="AR72" s="34"/>
    </row>
    <row r="73" spans="1:44" x14ac:dyDescent="0.25">
      <c r="A73" s="42">
        <v>68</v>
      </c>
      <c r="B73" s="42" t="s">
        <v>111</v>
      </c>
      <c r="C73" s="13" t="s">
        <v>216</v>
      </c>
      <c r="D73" s="14" t="s">
        <v>162</v>
      </c>
      <c r="E73" s="15">
        <v>24.759</v>
      </c>
      <c r="F73" s="16">
        <v>80.707504</v>
      </c>
      <c r="G73" s="17">
        <v>0.1</v>
      </c>
      <c r="H73" s="49" t="str">
        <v>NFL-177</v>
      </c>
      <c r="I73" s="18"/>
      <c r="J73" s="19">
        <v>29</v>
      </c>
      <c r="K73" s="52" t="str">
        <v>10</v>
      </c>
      <c r="L73" s="52">
        <v>1</v>
      </c>
      <c r="M73" s="52">
        <v>0</v>
      </c>
      <c r="N73" s="52">
        <v>0</v>
      </c>
      <c r="O73" s="52">
        <v>0</v>
      </c>
      <c r="P73" s="19">
        <v>1</v>
      </c>
      <c r="Q73" s="55">
        <f t="shared" ca="1" si="10"/>
        <v>8.7365567337702004</v>
      </c>
      <c r="R73" s="55">
        <f t="shared" ca="1" si="11"/>
        <v>8.2082464906456032</v>
      </c>
      <c r="S73" s="55" t="str">
        <f t="shared" ca="1" si="12"/>
        <v/>
      </c>
      <c r="T73" s="19">
        <v>0</v>
      </c>
      <c r="U73" s="20"/>
      <c r="W73" s="61" t="s">
        <v>22</v>
      </c>
      <c r="X73" s="92" cm="1">
        <f t="array" aca="1" ref="X73:AI73" ca="1">TRANSPOSE(Q6:Q17)</f>
        <v>95.564278734706093</v>
      </c>
      <c r="Y73" s="92">
        <f ca="1"/>
        <v>62.942996651261481</v>
      </c>
      <c r="Z73" s="92">
        <f ca="1"/>
        <v>83.03298205987447</v>
      </c>
      <c r="AA73" s="92">
        <f ca="1"/>
        <v>83.546961114184256</v>
      </c>
      <c r="AB73" s="92">
        <f ca="1"/>
        <v>2063.4547494628491</v>
      </c>
      <c r="AC73" s="92">
        <f ca="1"/>
        <v>1810.1681621644848</v>
      </c>
      <c r="AD73" s="92">
        <f ca="1"/>
        <v>13.282628709641271</v>
      </c>
      <c r="AE73" s="92">
        <f ca="1"/>
        <v>11.951595188678745</v>
      </c>
      <c r="AF73" s="92">
        <f ca="1"/>
        <v>11.894369150986002</v>
      </c>
      <c r="AG73" s="92">
        <f ca="1"/>
        <v>11.959792781619306</v>
      </c>
      <c r="AH73" s="92">
        <f ca="1"/>
        <v>9.0165042741632657</v>
      </c>
      <c r="AI73" s="93" t="str">
        <f ca="1"/>
        <v/>
      </c>
      <c r="AK73" s="151"/>
      <c r="AL73" s="34"/>
      <c r="AM73" s="34"/>
      <c r="AN73" s="34"/>
      <c r="AO73" s="153"/>
      <c r="AP73" s="153"/>
      <c r="AQ73" s="34"/>
      <c r="AR73" s="34"/>
    </row>
    <row r="74" spans="1:44" x14ac:dyDescent="0.25">
      <c r="A74" s="42">
        <v>69</v>
      </c>
      <c r="B74" s="42" t="s">
        <v>112</v>
      </c>
      <c r="C74" s="13" t="s">
        <v>216</v>
      </c>
      <c r="D74" s="14" t="s">
        <v>162</v>
      </c>
      <c r="E74" s="15">
        <v>23.712</v>
      </c>
      <c r="F74" s="16">
        <v>80.707504</v>
      </c>
      <c r="G74" s="17">
        <v>0.1</v>
      </c>
      <c r="H74" s="49" t="str">
        <v>NFL-185</v>
      </c>
      <c r="I74" s="18"/>
      <c r="J74" s="19">
        <v>30</v>
      </c>
      <c r="K74" s="52" t="str">
        <v>10</v>
      </c>
      <c r="L74" s="52">
        <v>1</v>
      </c>
      <c r="M74" s="52">
        <v>0</v>
      </c>
      <c r="N74" s="52">
        <v>0</v>
      </c>
      <c r="O74" s="52">
        <v>0</v>
      </c>
      <c r="P74" s="19">
        <v>1</v>
      </c>
      <c r="Q74" s="55">
        <f t="shared" ca="1" si="10"/>
        <v>17.91085100029284</v>
      </c>
      <c r="R74" s="55">
        <f t="shared" ca="1" si="11"/>
        <v>18.428789084283533</v>
      </c>
      <c r="S74" s="55" t="str">
        <f t="shared" ca="1" si="12"/>
        <v/>
      </c>
      <c r="T74" s="19">
        <v>0</v>
      </c>
      <c r="U74" s="20"/>
      <c r="W74" s="97" t="s">
        <v>24</v>
      </c>
      <c r="X74" s="92" cm="1">
        <f t="array" aca="1" ref="X74:AI74" ca="1">TRANSPOSE(Q18:Q29)</f>
        <v>5.7267426724031427</v>
      </c>
      <c r="Y74" s="92">
        <f ca="1"/>
        <v>5.8377503122605345</v>
      </c>
      <c r="Z74" s="92">
        <f ca="1"/>
        <v>15.951126497136672</v>
      </c>
      <c r="AA74" s="92">
        <f ca="1"/>
        <v>16.71246135325244</v>
      </c>
      <c r="AB74" s="92">
        <f ca="1"/>
        <v>416.46245116148617</v>
      </c>
      <c r="AC74" s="92">
        <f ca="1"/>
        <v>411.35407739488812</v>
      </c>
      <c r="AD74" s="92">
        <f ca="1"/>
        <v>13.182823885916871</v>
      </c>
      <c r="AE74" s="92">
        <f ca="1"/>
        <v>13.255334515918989</v>
      </c>
      <c r="AF74" s="92">
        <f ca="1"/>
        <v>5.7700988264320818</v>
      </c>
      <c r="AG74" s="92">
        <f ca="1"/>
        <v>5.7228173949204209</v>
      </c>
      <c r="AH74" s="92">
        <f ca="1"/>
        <v>4.0037447243243331</v>
      </c>
      <c r="AI74" s="93" t="str">
        <f ca="1"/>
        <v/>
      </c>
      <c r="AK74" s="151"/>
      <c r="AL74" s="34"/>
      <c r="AM74" s="34"/>
      <c r="AN74" s="34"/>
      <c r="AO74" s="153"/>
      <c r="AP74" s="153"/>
      <c r="AQ74" s="34"/>
      <c r="AR74" s="34"/>
    </row>
    <row r="75" spans="1:44" x14ac:dyDescent="0.25">
      <c r="A75" s="42">
        <v>70</v>
      </c>
      <c r="B75" s="42" t="s">
        <v>113</v>
      </c>
      <c r="C75" s="13" t="s">
        <v>216</v>
      </c>
      <c r="D75" s="14" t="s">
        <v>162</v>
      </c>
      <c r="E75" s="15">
        <v>23.63</v>
      </c>
      <c r="F75" s="16">
        <v>80.707504</v>
      </c>
      <c r="G75" s="17">
        <v>0.1</v>
      </c>
      <c r="H75" s="49" t="str">
        <v>NFL-185</v>
      </c>
      <c r="I75" s="18"/>
      <c r="J75" s="19">
        <v>30</v>
      </c>
      <c r="K75" s="52" t="str">
        <v>10</v>
      </c>
      <c r="L75" s="52">
        <v>1</v>
      </c>
      <c r="M75" s="52">
        <v>0</v>
      </c>
      <c r="N75" s="52">
        <v>0</v>
      </c>
      <c r="O75" s="52">
        <v>0</v>
      </c>
      <c r="P75" s="19">
        <v>1</v>
      </c>
      <c r="Q75" s="55">
        <f t="shared" ca="1" si="10"/>
        <v>18.946727168274226</v>
      </c>
      <c r="R75" s="55">
        <f t="shared" ca="1" si="11"/>
        <v>18.428789084283533</v>
      </c>
      <c r="S75" s="55" t="str">
        <f t="shared" ca="1" si="12"/>
        <v/>
      </c>
      <c r="T75" s="19">
        <v>0</v>
      </c>
      <c r="U75" s="20"/>
      <c r="W75" s="61" t="s">
        <v>26</v>
      </c>
      <c r="X75" s="92" cm="1">
        <f t="array" aca="1" ref="X75:AI75" ca="1">TRANSPOSE(Q30:Q41)</f>
        <v>18.396264732621415</v>
      </c>
      <c r="Y75" s="92">
        <f ca="1"/>
        <v>19.634451533220659</v>
      </c>
      <c r="Z75" s="92">
        <f ca="1"/>
        <v>38.078031928657118</v>
      </c>
      <c r="AA75" s="92">
        <f ca="1"/>
        <v>36.568357921546642</v>
      </c>
      <c r="AB75" s="92">
        <f ca="1"/>
        <v>73.081858280595426</v>
      </c>
      <c r="AC75" s="92">
        <f ca="1"/>
        <v>87.16439206806804</v>
      </c>
      <c r="AD75" s="92">
        <f ca="1"/>
        <v>14.147503685785015</v>
      </c>
      <c r="AE75" s="92">
        <f ca="1"/>
        <v>13.983553603319725</v>
      </c>
      <c r="AF75" s="92">
        <f ca="1"/>
        <v>6.5325309556768758</v>
      </c>
      <c r="AG75" s="92">
        <f ca="1"/>
        <v>5.9918532072413662</v>
      </c>
      <c r="AH75" s="92">
        <f ca="1"/>
        <v>10.006928357911985</v>
      </c>
      <c r="AI75" s="93" t="str">
        <f ca="1"/>
        <v/>
      </c>
      <c r="AK75" s="151"/>
      <c r="AL75" s="34"/>
      <c r="AM75" s="34"/>
      <c r="AN75" s="34"/>
      <c r="AO75" s="153"/>
      <c r="AP75" s="153"/>
      <c r="AQ75" s="34"/>
      <c r="AR75" s="34"/>
    </row>
    <row r="76" spans="1:44" x14ac:dyDescent="0.25">
      <c r="A76" s="42">
        <v>71</v>
      </c>
      <c r="B76" s="42" t="s">
        <v>114</v>
      </c>
      <c r="C76" s="13" t="s">
        <v>215</v>
      </c>
      <c r="D76" s="14" t="s">
        <v>162</v>
      </c>
      <c r="E76" s="15">
        <v>21.302</v>
      </c>
      <c r="F76" s="16">
        <v>80.707504</v>
      </c>
      <c r="G76" s="17">
        <v>0.1</v>
      </c>
      <c r="H76" s="49" t="str">
        <v>NFL-QC-H</v>
      </c>
      <c r="I76" s="18"/>
      <c r="J76" s="19">
        <v>43</v>
      </c>
      <c r="K76" s="52" t="str">
        <v>10</v>
      </c>
      <c r="L76" s="52">
        <v>1</v>
      </c>
      <c r="M76" s="52">
        <v>0</v>
      </c>
      <c r="N76" s="52">
        <v>0</v>
      </c>
      <c r="O76" s="52">
        <v>0</v>
      </c>
      <c r="P76" s="19">
        <v>1</v>
      </c>
      <c r="Q76" s="55">
        <f t="shared" ca="1" si="10"/>
        <v>93.490313997311574</v>
      </c>
      <c r="R76" s="55">
        <f t="shared" ca="1" si="11"/>
        <v>93.490313997311574</v>
      </c>
      <c r="S76" s="55" t="str">
        <f t="shared" ca="1" si="12"/>
        <v/>
      </c>
      <c r="T76" s="19">
        <v>0</v>
      </c>
      <c r="U76" s="20"/>
      <c r="W76" s="97" t="s">
        <v>28</v>
      </c>
      <c r="X76" s="92" cm="1">
        <f t="array" aca="1" ref="X76:AI76" ca="1">TRANSPOSE(Q42:Q53)</f>
        <v>5.5337388052099588</v>
      </c>
      <c r="Y76" s="92">
        <f ca="1"/>
        <v>6.0206811352411087</v>
      </c>
      <c r="Z76" s="92">
        <f ca="1"/>
        <v>43.945110970640691</v>
      </c>
      <c r="AA76" s="92">
        <f ca="1"/>
        <v>43.287190564172732</v>
      </c>
      <c r="AB76" s="92">
        <f ca="1"/>
        <v>15.538954037171855</v>
      </c>
      <c r="AC76" s="92">
        <f ca="1"/>
        <v>16.291783088707557</v>
      </c>
      <c r="AD76" s="92">
        <f ca="1"/>
        <v>97.952533939466349</v>
      </c>
      <c r="AE76" s="92">
        <f ca="1"/>
        <v>81.286691578059703</v>
      </c>
      <c r="AF76" s="92">
        <f ca="1"/>
        <v>2.8222693088387611</v>
      </c>
      <c r="AG76" s="92">
        <f ca="1"/>
        <v>2.7895630946401191</v>
      </c>
      <c r="AH76" s="92">
        <f ca="1"/>
        <v>9.485799291352448</v>
      </c>
      <c r="AI76" s="93" t="str">
        <f ca="1"/>
        <v/>
      </c>
      <c r="AK76" s="34"/>
      <c r="AL76" s="34"/>
      <c r="AM76" s="34"/>
      <c r="AN76" s="34"/>
      <c r="AO76" s="153"/>
      <c r="AP76" s="153"/>
      <c r="AQ76" s="34"/>
      <c r="AR76" s="34"/>
    </row>
    <row r="77" spans="1:44" x14ac:dyDescent="0.25">
      <c r="A77" s="42">
        <v>72</v>
      </c>
      <c r="B77" s="43" t="s">
        <v>115</v>
      </c>
      <c r="C77" s="21" t="s">
        <v>218</v>
      </c>
      <c r="D77" s="22" t="s">
        <v>162</v>
      </c>
      <c r="E77" s="23" t="s">
        <v>164</v>
      </c>
      <c r="F77" s="24">
        <v>60.307499999999997</v>
      </c>
      <c r="G77" s="25">
        <v>0.1</v>
      </c>
      <c r="H77" s="50">
        <v>0</v>
      </c>
      <c r="I77" s="26"/>
      <c r="J77" s="27">
        <v>45</v>
      </c>
      <c r="K77" s="53" t="str">
        <v>1</v>
      </c>
      <c r="L77" s="53">
        <v>1</v>
      </c>
      <c r="M77" s="53">
        <v>0</v>
      </c>
      <c r="N77" s="53">
        <v>0</v>
      </c>
      <c r="O77" s="53">
        <v>0</v>
      </c>
      <c r="P77" s="27">
        <v>1</v>
      </c>
      <c r="Q77" s="56" t="str">
        <f t="shared" si="10"/>
        <v/>
      </c>
      <c r="R77" s="56" t="str">
        <f t="shared" si="11"/>
        <v/>
      </c>
      <c r="S77" s="56" t="str">
        <f t="shared" si="12"/>
        <v/>
      </c>
      <c r="T77" s="27">
        <v>1</v>
      </c>
      <c r="U77" s="28"/>
      <c r="W77" s="61" t="s">
        <v>30</v>
      </c>
      <c r="X77" s="92" cm="1">
        <f t="array" aca="1" ref="X77:AI77" ca="1">TRANSPOSE(Q54:Q65)</f>
        <v>6.0248107173088128</v>
      </c>
      <c r="Y77" s="92">
        <f ca="1"/>
        <v>6.3907600028962559</v>
      </c>
      <c r="Z77" s="92">
        <f ca="1"/>
        <v>54.689312585591622</v>
      </c>
      <c r="AA77" s="92">
        <f ca="1"/>
        <v>55.065586223537039</v>
      </c>
      <c r="AB77" s="92">
        <f ca="1"/>
        <v>3.2123657897190978</v>
      </c>
      <c r="AC77" s="92">
        <f ca="1"/>
        <v>3.5335923551870092</v>
      </c>
      <c r="AD77" s="92">
        <f ca="1"/>
        <v>76.84249676636891</v>
      </c>
      <c r="AE77" s="92">
        <f ca="1"/>
        <v>79.196100560166528</v>
      </c>
      <c r="AF77" s="92">
        <f ca="1"/>
        <v>29.871723861230212</v>
      </c>
      <c r="AG77" s="92">
        <f ca="1"/>
        <v>27.6257029502734</v>
      </c>
      <c r="AH77" s="92">
        <f ca="1"/>
        <v>93.490313997311574</v>
      </c>
      <c r="AI77" s="93" t="str">
        <f ca="1"/>
        <v/>
      </c>
      <c r="AK77" s="34"/>
      <c r="AL77" s="34"/>
      <c r="AM77" s="34"/>
      <c r="AN77" s="34"/>
      <c r="AO77" s="153"/>
      <c r="AP77" s="153"/>
      <c r="AQ77" s="34"/>
      <c r="AR77" s="34"/>
    </row>
    <row r="78" spans="1:44" x14ac:dyDescent="0.25">
      <c r="A78" s="41">
        <v>73</v>
      </c>
      <c r="B78" s="42" t="s">
        <v>116</v>
      </c>
      <c r="C78" s="13" t="s">
        <v>216</v>
      </c>
      <c r="D78" s="14" t="s">
        <v>162</v>
      </c>
      <c r="E78" s="15">
        <v>24.173999999999999</v>
      </c>
      <c r="F78" s="16">
        <v>80.956289999999996</v>
      </c>
      <c r="G78" s="17">
        <v>0.1</v>
      </c>
      <c r="H78" s="49" t="str" cm="1">
        <f t="array" ref="H78:H89">TRANSPOSE(X12:AI12)</f>
        <v>NFL-162</v>
      </c>
      <c r="I78" s="18"/>
      <c r="J78" s="19">
        <v>31</v>
      </c>
      <c r="K78" s="52" t="str" cm="1">
        <f t="array" ref="K78:K89">TRANSPOSE(RIGHT(LEFT(X23:AI23,FIND(";",X23:AI23)-1),LEN(LEFT(X23:AI23,FIND(";",X23:AI23)-1))-1))</f>
        <v>10</v>
      </c>
      <c r="L78" s="52" cm="1">
        <f t="array" ref="L78:L89">TRANSPOSE(IF(ISNUMBER(SEARCH("v1",X23:AI23)),1,0))</f>
        <v>1</v>
      </c>
      <c r="M78" s="52" cm="1">
        <f t="array" ref="M78:M89">TRANSPOSE(IF(ISNUMBER(SEARCH("v2",X23:AI23)),1,0))</f>
        <v>0</v>
      </c>
      <c r="N78" s="52" cm="1">
        <f t="array" ref="N78:N89">TRANSPOSE(IF(ISNUMBER(SEARCH("v3",X23:AI23)),1,0))</f>
        <v>0</v>
      </c>
      <c r="O78" s="52" cm="1">
        <f t="array" ref="O78:O89">TRANSPOSE(IF(ISNUMBER(SEARCH("v4",X23:AI23)),1,0))</f>
        <v>0</v>
      </c>
      <c r="P78" s="19">
        <v>1</v>
      </c>
      <c r="Q78" s="55">
        <f t="shared" ca="1" si="10"/>
        <v>13.047933857123473</v>
      </c>
      <c r="R78" s="55">
        <f t="shared" ca="1" si="11"/>
        <v>13.597718771454243</v>
      </c>
      <c r="S78" s="55" t="str">
        <f t="shared" ca="1" si="12"/>
        <v/>
      </c>
      <c r="T78" s="19">
        <v>0</v>
      </c>
      <c r="U78" s="20"/>
      <c r="W78" s="97" t="s">
        <v>32</v>
      </c>
      <c r="X78" s="92" cm="1">
        <f t="array" aca="1" ref="X78:AI78" ca="1">TRANSPOSE(Q66:Q77)</f>
        <v>13.907059397894177</v>
      </c>
      <c r="Y78" s="92">
        <f ca="1"/>
        <v>12.967663257030486</v>
      </c>
      <c r="Z78" s="92">
        <f ca="1"/>
        <v>71.357758710566173</v>
      </c>
      <c r="AA78" s="92">
        <f ca="1"/>
        <v>72.740963235914634</v>
      </c>
      <c r="AB78" s="92">
        <f ca="1"/>
        <v>0.61289758956656226</v>
      </c>
      <c r="AC78" s="92">
        <f ca="1"/>
        <v>0.61415961320855028</v>
      </c>
      <c r="AD78" s="92">
        <f ca="1"/>
        <v>7.6799362475210042</v>
      </c>
      <c r="AE78" s="92">
        <f ca="1"/>
        <v>8.7365567337702004</v>
      </c>
      <c r="AF78" s="92">
        <f ca="1"/>
        <v>17.91085100029284</v>
      </c>
      <c r="AG78" s="92">
        <f ca="1"/>
        <v>18.946727168274226</v>
      </c>
      <c r="AH78" s="92">
        <f ca="1"/>
        <v>93.490313997311574</v>
      </c>
      <c r="AI78" s="93" t="str">
        <f ca="1"/>
        <v/>
      </c>
      <c r="AK78" s="34"/>
      <c r="AL78" s="34"/>
      <c r="AM78" s="34"/>
      <c r="AN78" s="34"/>
      <c r="AO78" s="153"/>
      <c r="AP78" s="153"/>
      <c r="AQ78" s="34"/>
      <c r="AR78" s="34"/>
    </row>
    <row r="79" spans="1:44" x14ac:dyDescent="0.25">
      <c r="A79" s="42">
        <v>74</v>
      </c>
      <c r="B79" s="42" t="s">
        <v>117</v>
      </c>
      <c r="C79" s="13" t="s">
        <v>216</v>
      </c>
      <c r="D79" s="14" t="s">
        <v>162</v>
      </c>
      <c r="E79" s="15">
        <v>24.056000000000001</v>
      </c>
      <c r="F79" s="16">
        <v>80.956289999999996</v>
      </c>
      <c r="G79" s="17">
        <v>0.1</v>
      </c>
      <c r="H79" s="49" t="str">
        <v>NFL-162</v>
      </c>
      <c r="I79" s="18"/>
      <c r="J79" s="19">
        <v>31</v>
      </c>
      <c r="K79" s="52" t="str">
        <v>10</v>
      </c>
      <c r="L79" s="52">
        <v>1</v>
      </c>
      <c r="M79" s="52">
        <v>0</v>
      </c>
      <c r="N79" s="52">
        <v>0</v>
      </c>
      <c r="O79" s="52">
        <v>0</v>
      </c>
      <c r="P79" s="19">
        <v>1</v>
      </c>
      <c r="Q79" s="55">
        <f t="shared" ca="1" si="10"/>
        <v>14.147503685785015</v>
      </c>
      <c r="R79" s="55">
        <f t="shared" ca="1" si="11"/>
        <v>13.597718771454243</v>
      </c>
      <c r="S79" s="55" t="str">
        <f t="shared" ca="1" si="12"/>
        <v/>
      </c>
      <c r="T79" s="19">
        <v>0</v>
      </c>
      <c r="U79" s="20"/>
      <c r="W79" s="61" t="s">
        <v>34</v>
      </c>
      <c r="X79" s="92" cm="1">
        <f t="array" aca="1" ref="X79:AI79" ca="1">TRANSPOSE(Q78:Q89)</f>
        <v>13.047933857123473</v>
      </c>
      <c r="Y79" s="92">
        <f ca="1"/>
        <v>14.147503685785015</v>
      </c>
      <c r="Z79" s="92">
        <f ca="1"/>
        <v>38.287475831441654</v>
      </c>
      <c r="AA79" s="92">
        <f ca="1"/>
        <v>33.289675755098116</v>
      </c>
      <c r="AB79" s="92">
        <f ca="1"/>
        <v>0.13103350425978399</v>
      </c>
      <c r="AC79" s="92">
        <f ca="1"/>
        <v>0.12472174478979599</v>
      </c>
      <c r="AD79" s="92">
        <f ca="1"/>
        <v>8.8450510934513655</v>
      </c>
      <c r="AE79" s="92">
        <f ca="1"/>
        <v>10.614752977693298</v>
      </c>
      <c r="AF79" s="92">
        <f ca="1"/>
        <v>4.5827808351855213</v>
      </c>
      <c r="AG79" s="92">
        <f ca="1"/>
        <v>4.7850804503422815</v>
      </c>
      <c r="AH79" s="92">
        <f ca="1"/>
        <v>83.261025665601352</v>
      </c>
      <c r="AI79" s="93" t="str">
        <f ca="1"/>
        <v/>
      </c>
      <c r="AK79" s="34"/>
      <c r="AL79" s="34"/>
      <c r="AM79" s="34"/>
      <c r="AN79" s="34"/>
      <c r="AO79" s="153"/>
      <c r="AP79" s="153"/>
      <c r="AQ79" s="34"/>
      <c r="AR79" s="34"/>
    </row>
    <row r="80" spans="1:44" x14ac:dyDescent="0.25">
      <c r="A80" s="42">
        <v>75</v>
      </c>
      <c r="B80" s="42" t="s">
        <v>118</v>
      </c>
      <c r="C80" s="13" t="s">
        <v>216</v>
      </c>
      <c r="D80" s="14" t="s">
        <v>162</v>
      </c>
      <c r="E80" s="15">
        <v>22.603999999999999</v>
      </c>
      <c r="F80" s="16">
        <v>80.956289999999996</v>
      </c>
      <c r="G80" s="17">
        <v>0.1</v>
      </c>
      <c r="H80" s="49" t="str">
        <v>NFL-170</v>
      </c>
      <c r="I80" s="18"/>
      <c r="J80" s="19">
        <v>32</v>
      </c>
      <c r="K80" s="52" t="str">
        <v>10</v>
      </c>
      <c r="L80" s="52">
        <v>1</v>
      </c>
      <c r="M80" s="52">
        <v>0</v>
      </c>
      <c r="N80" s="52">
        <v>0</v>
      </c>
      <c r="O80" s="52">
        <v>0</v>
      </c>
      <c r="P80" s="19">
        <v>1</v>
      </c>
      <c r="Q80" s="55">
        <f t="shared" ca="1" si="10"/>
        <v>38.287475831441654</v>
      </c>
      <c r="R80" s="55">
        <f t="shared" ca="1" si="11"/>
        <v>35.788575793269885</v>
      </c>
      <c r="S80" s="55" t="str">
        <f t="shared" ca="1" si="12"/>
        <v/>
      </c>
      <c r="T80" s="19">
        <v>0</v>
      </c>
      <c r="U80" s="20"/>
      <c r="W80" s="97" t="s">
        <v>36</v>
      </c>
      <c r="X80" s="104" cm="1">
        <f t="array" aca="1" ref="X80:AI80" ca="1">TRANSPOSE(Q90:Q101)</f>
        <v>18.472102602110152</v>
      </c>
      <c r="Y80" s="104">
        <f ca="1"/>
        <v>19.674881031483025</v>
      </c>
      <c r="Z80" s="104">
        <f ca="1"/>
        <v>49.956898941466036</v>
      </c>
      <c r="AA80" s="104">
        <f ca="1"/>
        <v>48.37264111087984</v>
      </c>
      <c r="AB80" s="104">
        <f ca="1"/>
        <v>3.2245987131330526E-3</v>
      </c>
      <c r="AC80" s="104">
        <f ca="1"/>
        <v>3.4819863485519948E-3</v>
      </c>
      <c r="AD80" s="104">
        <f ca="1"/>
        <v>8.029959058718104</v>
      </c>
      <c r="AE80" s="104">
        <f ca="1"/>
        <v>7.7274755056776492</v>
      </c>
      <c r="AF80" s="104">
        <f ca="1"/>
        <v>11.09853377452146</v>
      </c>
      <c r="AG80" s="104">
        <f ca="1"/>
        <v>11.228658460934835</v>
      </c>
      <c r="AH80" s="104">
        <f ca="1"/>
        <v>77.053538687313306</v>
      </c>
      <c r="AI80" s="105" t="str">
        <f ca="1"/>
        <v/>
      </c>
      <c r="AK80" s="34"/>
      <c r="AL80" s="34"/>
      <c r="AM80" s="34"/>
      <c r="AN80" s="34"/>
      <c r="AO80" s="34"/>
      <c r="AP80" s="34"/>
      <c r="AQ80" s="34"/>
      <c r="AR80" s="34"/>
    </row>
    <row r="81" spans="1:44" x14ac:dyDescent="0.25">
      <c r="A81" s="42">
        <v>76</v>
      </c>
      <c r="B81" s="42" t="s">
        <v>119</v>
      </c>
      <c r="C81" s="13" t="s">
        <v>216</v>
      </c>
      <c r="D81" s="14" t="s">
        <v>162</v>
      </c>
      <c r="E81" s="15">
        <v>22.808</v>
      </c>
      <c r="F81" s="16">
        <v>80.956289999999996</v>
      </c>
      <c r="G81" s="17">
        <v>0.1</v>
      </c>
      <c r="H81" s="49" t="str">
        <v>NFL-170</v>
      </c>
      <c r="I81" s="18"/>
      <c r="J81" s="19">
        <v>32</v>
      </c>
      <c r="K81" s="52" t="str">
        <v>10</v>
      </c>
      <c r="L81" s="52">
        <v>1</v>
      </c>
      <c r="M81" s="52">
        <v>0</v>
      </c>
      <c r="N81" s="52">
        <v>0</v>
      </c>
      <c r="O81" s="52">
        <v>0</v>
      </c>
      <c r="P81" s="19">
        <v>1</v>
      </c>
      <c r="Q81" s="55">
        <f t="shared" ca="1" si="10"/>
        <v>33.289675755098116</v>
      </c>
      <c r="R81" s="55">
        <f t="shared" ca="1" si="11"/>
        <v>35.788575793269885</v>
      </c>
      <c r="S81" s="55" t="str">
        <f t="shared" ca="1" si="12"/>
        <v/>
      </c>
      <c r="T81" s="19">
        <v>0</v>
      </c>
      <c r="U81" s="20"/>
      <c r="AK81" s="34"/>
      <c r="AL81" s="34"/>
      <c r="AM81" s="34"/>
      <c r="AN81" s="34"/>
      <c r="AO81" s="34"/>
      <c r="AP81" s="34"/>
      <c r="AQ81" s="34"/>
      <c r="AR81" s="34"/>
    </row>
    <row r="82" spans="1:44" ht="21" x14ac:dyDescent="0.35">
      <c r="A82" s="42">
        <v>77</v>
      </c>
      <c r="B82" s="42" t="s">
        <v>120</v>
      </c>
      <c r="C82" s="13" t="s">
        <v>217</v>
      </c>
      <c r="D82" s="14" t="s">
        <v>162</v>
      </c>
      <c r="E82" s="15">
        <v>27.526</v>
      </c>
      <c r="F82" s="16">
        <v>80.956289999999996</v>
      </c>
      <c r="G82" s="17">
        <v>0.1</v>
      </c>
      <c r="H82" s="49" t="str">
        <v>std1[0.128]_progen#62008</v>
      </c>
      <c r="I82" s="18"/>
      <c r="J82" s="19">
        <v>33</v>
      </c>
      <c r="K82" s="52" t="str">
        <v>1</v>
      </c>
      <c r="L82" s="52">
        <v>1</v>
      </c>
      <c r="M82" s="52">
        <v>0</v>
      </c>
      <c r="N82" s="52">
        <v>0</v>
      </c>
      <c r="O82" s="52">
        <v>0</v>
      </c>
      <c r="P82" s="19">
        <v>1</v>
      </c>
      <c r="Q82" s="55">
        <f t="shared" ca="1" si="10"/>
        <v>0.13103350425978399</v>
      </c>
      <c r="R82" s="55">
        <f t="shared" ca="1" si="11"/>
        <v>0.12787762452478998</v>
      </c>
      <c r="S82" s="55">
        <f t="shared" ca="1" si="12"/>
        <v>1.0236992520295625</v>
      </c>
      <c r="T82" s="19">
        <v>0</v>
      </c>
      <c r="U82" s="20"/>
      <c r="AK82" s="34"/>
      <c r="AL82" s="154"/>
      <c r="AM82" s="34"/>
      <c r="AN82" s="34"/>
      <c r="AO82" s="34"/>
      <c r="AP82" s="34"/>
      <c r="AQ82" s="34"/>
      <c r="AR82" s="34"/>
    </row>
    <row r="83" spans="1:44" x14ac:dyDescent="0.25">
      <c r="A83" s="42">
        <v>78</v>
      </c>
      <c r="B83" s="42" t="s">
        <v>121</v>
      </c>
      <c r="C83" s="13" t="s">
        <v>217</v>
      </c>
      <c r="D83" s="14" t="s">
        <v>162</v>
      </c>
      <c r="E83" s="15">
        <v>27.597999999999999</v>
      </c>
      <c r="F83" s="16">
        <v>80.956289999999996</v>
      </c>
      <c r="G83" s="17">
        <v>0.1</v>
      </c>
      <c r="H83" s="49" t="str">
        <v>std1[0.128]_progen#62008</v>
      </c>
      <c r="I83" s="18"/>
      <c r="J83" s="19">
        <v>33</v>
      </c>
      <c r="K83" s="52" t="str">
        <v>1</v>
      </c>
      <c r="L83" s="52">
        <v>1</v>
      </c>
      <c r="M83" s="52">
        <v>0</v>
      </c>
      <c r="N83" s="52">
        <v>0</v>
      </c>
      <c r="O83" s="52">
        <v>0</v>
      </c>
      <c r="P83" s="19">
        <v>1</v>
      </c>
      <c r="Q83" s="55">
        <f t="shared" ca="1" si="10"/>
        <v>0.12472174478979599</v>
      </c>
      <c r="R83" s="55">
        <f t="shared" ca="1" si="11"/>
        <v>0.12787762452478998</v>
      </c>
      <c r="S83" s="55">
        <f t="shared" ca="1" si="12"/>
        <v>0.97438863117028118</v>
      </c>
      <c r="T83" s="19">
        <v>0</v>
      </c>
      <c r="U83" s="20"/>
      <c r="W83" s="57" t="s">
        <v>149</v>
      </c>
      <c r="AM83" s="2"/>
      <c r="AN83" s="2"/>
      <c r="AO83" s="2"/>
      <c r="AP83" s="2"/>
    </row>
    <row r="84" spans="1:44" x14ac:dyDescent="0.25">
      <c r="A84" s="42">
        <v>79</v>
      </c>
      <c r="B84" s="42" t="s">
        <v>122</v>
      </c>
      <c r="C84" s="13" t="s">
        <v>216</v>
      </c>
      <c r="D84" s="14" t="s">
        <v>162</v>
      </c>
      <c r="E84" s="15">
        <v>24.741</v>
      </c>
      <c r="F84" s="16">
        <v>80.956289999999996</v>
      </c>
      <c r="G84" s="17">
        <v>0.1</v>
      </c>
      <c r="H84" s="49" t="str">
        <v>NFL-178</v>
      </c>
      <c r="I84" s="18"/>
      <c r="J84" s="19">
        <v>34</v>
      </c>
      <c r="K84" s="52" t="str">
        <v>10</v>
      </c>
      <c r="L84" s="52">
        <v>1</v>
      </c>
      <c r="M84" s="52">
        <v>0</v>
      </c>
      <c r="N84" s="52">
        <v>0</v>
      </c>
      <c r="O84" s="52">
        <v>0</v>
      </c>
      <c r="P84" s="19">
        <v>1</v>
      </c>
      <c r="Q84" s="55">
        <f t="shared" ca="1" si="10"/>
        <v>8.8450510934513655</v>
      </c>
      <c r="R84" s="55">
        <f t="shared" ca="1" si="11"/>
        <v>9.7299020355723318</v>
      </c>
      <c r="S84" s="55" t="str">
        <f t="shared" ca="1" si="12"/>
        <v/>
      </c>
      <c r="T84" s="19">
        <v>0</v>
      </c>
      <c r="U84" s="20"/>
      <c r="W84" s="58" t="s">
        <v>57</v>
      </c>
      <c r="X84" s="59">
        <v>1</v>
      </c>
      <c r="Y84" s="59">
        <v>2</v>
      </c>
      <c r="Z84" s="58">
        <v>3</v>
      </c>
      <c r="AA84" s="60">
        <v>4</v>
      </c>
      <c r="AB84" s="59">
        <v>5</v>
      </c>
      <c r="AC84" s="59">
        <v>6</v>
      </c>
      <c r="AD84" s="58">
        <v>7</v>
      </c>
      <c r="AE84" s="60">
        <v>8</v>
      </c>
      <c r="AF84" s="59">
        <v>9</v>
      </c>
      <c r="AG84" s="59">
        <v>10</v>
      </c>
      <c r="AH84" s="58">
        <v>11</v>
      </c>
      <c r="AI84" s="60">
        <v>12</v>
      </c>
      <c r="AM84" s="135"/>
      <c r="AN84" s="136"/>
      <c r="AO84" s="134"/>
      <c r="AP84" s="134"/>
    </row>
    <row r="85" spans="1:44" x14ac:dyDescent="0.25">
      <c r="A85" s="42">
        <v>80</v>
      </c>
      <c r="B85" s="42" t="s">
        <v>123</v>
      </c>
      <c r="C85" s="13" t="s">
        <v>216</v>
      </c>
      <c r="D85" s="14" t="s">
        <v>162</v>
      </c>
      <c r="E85" s="15">
        <v>24.475000000000001</v>
      </c>
      <c r="F85" s="16">
        <v>80.956289999999996</v>
      </c>
      <c r="G85" s="17">
        <v>0.1</v>
      </c>
      <c r="H85" s="49" t="str">
        <v>NFL-178</v>
      </c>
      <c r="I85" s="18"/>
      <c r="J85" s="19">
        <v>34</v>
      </c>
      <c r="K85" s="52" t="str">
        <v>10</v>
      </c>
      <c r="L85" s="52">
        <v>1</v>
      </c>
      <c r="M85" s="52">
        <v>0</v>
      </c>
      <c r="N85" s="52">
        <v>0</v>
      </c>
      <c r="O85" s="52">
        <v>0</v>
      </c>
      <c r="P85" s="19">
        <v>1</v>
      </c>
      <c r="Q85" s="55">
        <f t="shared" ca="1" si="10"/>
        <v>10.614752977693298</v>
      </c>
      <c r="R85" s="55">
        <f t="shared" ca="1" si="11"/>
        <v>9.7299020355723318</v>
      </c>
      <c r="S85" s="55" t="str">
        <f t="shared" ca="1" si="12"/>
        <v/>
      </c>
      <c r="T85" s="19">
        <v>0</v>
      </c>
      <c r="U85" s="20"/>
      <c r="W85" s="61" t="s">
        <v>22</v>
      </c>
      <c r="X85" s="94" cm="1">
        <f t="array" aca="1" ref="X85:AI85" ca="1">TRANSPOSE(R6:R17)</f>
        <v>79.253637692983787</v>
      </c>
      <c r="Y85" s="95">
        <f ca="1"/>
        <v>79.253637692983787</v>
      </c>
      <c r="Z85" s="95">
        <f ca="1"/>
        <v>83.289971587029356</v>
      </c>
      <c r="AA85" s="95">
        <f ca="1"/>
        <v>83.289971587029356</v>
      </c>
      <c r="AB85" s="95">
        <f ca="1"/>
        <v>1936.811455813667</v>
      </c>
      <c r="AC85" s="95">
        <f ca="1"/>
        <v>1936.811455813667</v>
      </c>
      <c r="AD85" s="95">
        <f ca="1"/>
        <v>12.617111949160009</v>
      </c>
      <c r="AE85" s="95">
        <f ca="1"/>
        <v>12.617111949160009</v>
      </c>
      <c r="AF85" s="95">
        <f ca="1"/>
        <v>11.927080966302654</v>
      </c>
      <c r="AG85" s="95">
        <f ca="1"/>
        <v>11.927080966302654</v>
      </c>
      <c r="AH85" s="95">
        <f ca="1"/>
        <v>6.5101244992437994</v>
      </c>
      <c r="AI85" s="96" t="str">
        <f ca="1"/>
        <v/>
      </c>
      <c r="AM85" s="135"/>
      <c r="AN85" s="135"/>
      <c r="AO85" s="135"/>
      <c r="AP85" s="135"/>
    </row>
    <row r="86" spans="1:44" x14ac:dyDescent="0.25">
      <c r="A86" s="42">
        <v>81</v>
      </c>
      <c r="B86" s="42" t="s">
        <v>124</v>
      </c>
      <c r="C86" s="13" t="s">
        <v>216</v>
      </c>
      <c r="D86" s="14" t="s">
        <v>162</v>
      </c>
      <c r="E86" s="15">
        <v>25.7</v>
      </c>
      <c r="F86" s="16">
        <v>80.707504</v>
      </c>
      <c r="G86" s="17">
        <v>0.1</v>
      </c>
      <c r="H86" s="49" t="str">
        <v>NFL-186</v>
      </c>
      <c r="I86" s="18"/>
      <c r="J86" s="19">
        <v>35</v>
      </c>
      <c r="K86" s="52" t="str">
        <v>10</v>
      </c>
      <c r="L86" s="52">
        <v>1</v>
      </c>
      <c r="M86" s="52">
        <v>0</v>
      </c>
      <c r="N86" s="52">
        <v>0</v>
      </c>
      <c r="O86" s="52">
        <v>0</v>
      </c>
      <c r="P86" s="19">
        <v>1</v>
      </c>
      <c r="Q86" s="55">
        <f t="shared" ca="1" si="10"/>
        <v>4.5827808351855213</v>
      </c>
      <c r="R86" s="55">
        <f t="shared" ca="1" si="11"/>
        <v>4.6839306427639009</v>
      </c>
      <c r="S86" s="55" t="str">
        <f t="shared" ca="1" si="12"/>
        <v/>
      </c>
      <c r="T86" s="19">
        <v>0</v>
      </c>
      <c r="U86" s="20"/>
      <c r="W86" s="97" t="s">
        <v>24</v>
      </c>
      <c r="X86" s="98" cm="1">
        <f t="array" aca="1" ref="X86:AI86" ca="1">TRANSPOSE(R18:R29)</f>
        <v>5.7822464923318382</v>
      </c>
      <c r="Y86" s="99">
        <f ca="1"/>
        <v>5.7822464923318382</v>
      </c>
      <c r="Z86" s="99">
        <f ca="1"/>
        <v>16.331793925194557</v>
      </c>
      <c r="AA86" s="99">
        <f ca="1"/>
        <v>16.331793925194557</v>
      </c>
      <c r="AB86" s="99">
        <f ca="1"/>
        <v>413.90826427818718</v>
      </c>
      <c r="AC86" s="99">
        <f ca="1"/>
        <v>413.90826427818718</v>
      </c>
      <c r="AD86" s="99">
        <f ca="1"/>
        <v>13.21907920091793</v>
      </c>
      <c r="AE86" s="99">
        <f ca="1"/>
        <v>13.21907920091793</v>
      </c>
      <c r="AF86" s="99">
        <f ca="1"/>
        <v>5.7464581106762509</v>
      </c>
      <c r="AG86" s="99">
        <f ca="1"/>
        <v>5.7464581106762509</v>
      </c>
      <c r="AH86" s="99">
        <f ca="1"/>
        <v>6.5101244992437994</v>
      </c>
      <c r="AI86" s="100" t="str">
        <f ca="1"/>
        <v/>
      </c>
      <c r="AM86" s="135"/>
      <c r="AN86" s="135"/>
      <c r="AO86" s="135"/>
      <c r="AP86" s="135"/>
    </row>
    <row r="87" spans="1:44" x14ac:dyDescent="0.25">
      <c r="A87" s="42">
        <v>82</v>
      </c>
      <c r="B87" s="42" t="s">
        <v>125</v>
      </c>
      <c r="C87" s="13" t="s">
        <v>216</v>
      </c>
      <c r="D87" s="14" t="s">
        <v>162</v>
      </c>
      <c r="E87" s="15">
        <v>25.637</v>
      </c>
      <c r="F87" s="16">
        <v>80.707504</v>
      </c>
      <c r="G87" s="17">
        <v>0.1</v>
      </c>
      <c r="H87" s="49" t="str">
        <v>NFL-186</v>
      </c>
      <c r="I87" s="18"/>
      <c r="J87" s="19">
        <v>35</v>
      </c>
      <c r="K87" s="52" t="str">
        <v>10</v>
      </c>
      <c r="L87" s="52">
        <v>1</v>
      </c>
      <c r="M87" s="52">
        <v>0</v>
      </c>
      <c r="N87" s="52">
        <v>0</v>
      </c>
      <c r="O87" s="52">
        <v>0</v>
      </c>
      <c r="P87" s="19">
        <v>1</v>
      </c>
      <c r="Q87" s="55">
        <f t="shared" ca="1" si="10"/>
        <v>4.7850804503422815</v>
      </c>
      <c r="R87" s="55">
        <f t="shared" ca="1" si="11"/>
        <v>4.6839306427639009</v>
      </c>
      <c r="S87" s="55" t="str">
        <f t="shared" ca="1" si="12"/>
        <v/>
      </c>
      <c r="T87" s="19">
        <v>0</v>
      </c>
      <c r="U87" s="20"/>
      <c r="W87" s="61" t="s">
        <v>26</v>
      </c>
      <c r="X87" s="98" cm="1">
        <f t="array" aca="1" ref="X87:AI87" ca="1">TRANSPOSE(R30:R41)</f>
        <v>19.015358132921037</v>
      </c>
      <c r="Y87" s="99">
        <f ca="1"/>
        <v>19.015358132921037</v>
      </c>
      <c r="Z87" s="99">
        <f ca="1"/>
        <v>37.32319492510188</v>
      </c>
      <c r="AA87" s="99">
        <f ca="1"/>
        <v>37.32319492510188</v>
      </c>
      <c r="AB87" s="99">
        <f ca="1"/>
        <v>80.123125174331733</v>
      </c>
      <c r="AC87" s="99">
        <f ca="1"/>
        <v>80.123125174331733</v>
      </c>
      <c r="AD87" s="99">
        <f ca="1"/>
        <v>14.065528644552369</v>
      </c>
      <c r="AE87" s="99">
        <f ca="1"/>
        <v>14.065528644552369</v>
      </c>
      <c r="AF87" s="99">
        <f ca="1"/>
        <v>6.262192081459121</v>
      </c>
      <c r="AG87" s="99">
        <f ca="1"/>
        <v>6.262192081459121</v>
      </c>
      <c r="AH87" s="99">
        <f ca="1"/>
        <v>9.7463638246322155</v>
      </c>
      <c r="AI87" s="100" t="str">
        <f ca="1"/>
        <v/>
      </c>
    </row>
    <row r="88" spans="1:44" x14ac:dyDescent="0.25">
      <c r="A88" s="42">
        <v>83</v>
      </c>
      <c r="B88" s="42" t="s">
        <v>126</v>
      </c>
      <c r="C88" s="13" t="s">
        <v>215</v>
      </c>
      <c r="D88" s="14" t="s">
        <v>162</v>
      </c>
      <c r="E88" s="15">
        <v>21.471</v>
      </c>
      <c r="F88" s="16">
        <v>80.707504</v>
      </c>
      <c r="G88" s="17">
        <v>0.1</v>
      </c>
      <c r="H88" s="49" t="str">
        <v>NFL-QC-H</v>
      </c>
      <c r="I88" s="18"/>
      <c r="J88" s="19">
        <v>44</v>
      </c>
      <c r="K88" s="52" t="str">
        <v>10</v>
      </c>
      <c r="L88" s="52">
        <v>1</v>
      </c>
      <c r="M88" s="52">
        <v>0</v>
      </c>
      <c r="N88" s="52">
        <v>0</v>
      </c>
      <c r="O88" s="52">
        <v>0</v>
      </c>
      <c r="P88" s="19">
        <v>1</v>
      </c>
      <c r="Q88" s="55">
        <f t="shared" ca="1" si="10"/>
        <v>83.261025665601352</v>
      </c>
      <c r="R88" s="55">
        <f t="shared" ca="1" si="11"/>
        <v>80.157282176457329</v>
      </c>
      <c r="S88" s="55" t="str">
        <f t="shared" ca="1" si="12"/>
        <v/>
      </c>
      <c r="T88" s="19">
        <v>0</v>
      </c>
      <c r="U88" s="20"/>
      <c r="W88" s="97" t="s">
        <v>28</v>
      </c>
      <c r="X88" s="98" cm="1">
        <f t="array" aca="1" ref="X88:AI88" ca="1">TRANSPOSE(R42:R53)</f>
        <v>5.7772099702255337</v>
      </c>
      <c r="Y88" s="99">
        <f ca="1"/>
        <v>5.7772099702255337</v>
      </c>
      <c r="Z88" s="99">
        <f ca="1"/>
        <v>43.616150767406708</v>
      </c>
      <c r="AA88" s="99">
        <f ca="1"/>
        <v>43.616150767406708</v>
      </c>
      <c r="AB88" s="99">
        <f ca="1"/>
        <v>15.915368562939706</v>
      </c>
      <c r="AC88" s="99">
        <f ca="1"/>
        <v>15.915368562939706</v>
      </c>
      <c r="AD88" s="99">
        <f ca="1"/>
        <v>89.619612758763026</v>
      </c>
      <c r="AE88" s="99">
        <f ca="1"/>
        <v>89.619612758763026</v>
      </c>
      <c r="AF88" s="99">
        <f ca="1"/>
        <v>2.8059162017394401</v>
      </c>
      <c r="AG88" s="99">
        <f ca="1"/>
        <v>2.8059162017394401</v>
      </c>
      <c r="AH88" s="99">
        <f ca="1"/>
        <v>9.7463638246322155</v>
      </c>
      <c r="AI88" s="100" t="str">
        <f ca="1"/>
        <v/>
      </c>
    </row>
    <row r="89" spans="1:44" x14ac:dyDescent="0.25">
      <c r="A89" s="43">
        <v>84</v>
      </c>
      <c r="B89" s="42" t="s">
        <v>127</v>
      </c>
      <c r="C89" s="13" t="s">
        <v>218</v>
      </c>
      <c r="D89" s="14" t="s">
        <v>162</v>
      </c>
      <c r="E89" s="15" t="s">
        <v>164</v>
      </c>
      <c r="F89" s="16">
        <v>0</v>
      </c>
      <c r="G89" s="17">
        <v>0.1</v>
      </c>
      <c r="H89" s="49" t="str">
        <v>unused</v>
      </c>
      <c r="I89" s="18"/>
      <c r="J89" s="19">
        <v>45</v>
      </c>
      <c r="K89" s="52" t="str">
        <v>1</v>
      </c>
      <c r="L89" s="52">
        <v>1</v>
      </c>
      <c r="M89" s="52">
        <v>0</v>
      </c>
      <c r="N89" s="52">
        <v>0</v>
      </c>
      <c r="O89" s="52">
        <v>0</v>
      </c>
      <c r="P89" s="19">
        <v>1</v>
      </c>
      <c r="Q89" s="55" t="str">
        <f t="shared" si="10"/>
        <v/>
      </c>
      <c r="R89" s="55" t="str">
        <f t="shared" si="11"/>
        <v/>
      </c>
      <c r="S89" s="55" t="str">
        <f t="shared" si="12"/>
        <v/>
      </c>
      <c r="T89" s="19">
        <v>1</v>
      </c>
      <c r="U89" s="20"/>
      <c r="W89" s="61" t="s">
        <v>30</v>
      </c>
      <c r="X89" s="98" cm="1">
        <f t="array" aca="1" ref="X89:AI89" ca="1">TRANSPOSE(R54:R65)</f>
        <v>6.2077853601025339</v>
      </c>
      <c r="Y89" s="99">
        <f ca="1"/>
        <v>6.2077853601025339</v>
      </c>
      <c r="Z89" s="99">
        <f ca="1"/>
        <v>54.877449404564331</v>
      </c>
      <c r="AA89" s="99">
        <f ca="1"/>
        <v>54.877449404564331</v>
      </c>
      <c r="AB89" s="99">
        <f ca="1"/>
        <v>3.3729790724530533</v>
      </c>
      <c r="AC89" s="99">
        <f ca="1"/>
        <v>3.3729790724530533</v>
      </c>
      <c r="AD89" s="99">
        <f ca="1"/>
        <v>78.019298663267719</v>
      </c>
      <c r="AE89" s="99">
        <f ca="1"/>
        <v>78.019298663267719</v>
      </c>
      <c r="AF89" s="99">
        <f ca="1"/>
        <v>28.748713405751808</v>
      </c>
      <c r="AG89" s="99">
        <f ca="1"/>
        <v>28.748713405751808</v>
      </c>
      <c r="AH89" s="99">
        <f ca="1"/>
        <v>93.490313997311574</v>
      </c>
      <c r="AI89" s="100" t="str">
        <f ca="1"/>
        <v/>
      </c>
    </row>
    <row r="90" spans="1:44" x14ac:dyDescent="0.25">
      <c r="A90" s="42">
        <v>85</v>
      </c>
      <c r="B90" s="41" t="s">
        <v>128</v>
      </c>
      <c r="C90" s="5" t="s">
        <v>216</v>
      </c>
      <c r="D90" s="6" t="s">
        <v>162</v>
      </c>
      <c r="E90" s="7">
        <v>23.667000000000002</v>
      </c>
      <c r="F90" s="8">
        <v>80.956289999999996</v>
      </c>
      <c r="G90" s="9">
        <v>0.1</v>
      </c>
      <c r="H90" s="48" t="str" cm="1">
        <f t="array" ref="H90:H101">TRANSPOSE(X13:AI13)</f>
        <v>NFL-163</v>
      </c>
      <c r="I90" s="10"/>
      <c r="J90" s="11">
        <v>36</v>
      </c>
      <c r="K90" s="51" t="str" cm="1">
        <f t="array" ref="K90:K101">TRANSPOSE(RIGHT(LEFT(X24:AI24,FIND(";",X24:AI24)-1),LEN(LEFT(X24:AI24,FIND(";",X24:AI24)-1))-1))</f>
        <v>10</v>
      </c>
      <c r="L90" s="51" cm="1">
        <f t="array" ref="L90:L101">TRANSPOSE(IF(ISNUMBER(SEARCH("v1",X24:AI24)),1,0))</f>
        <v>1</v>
      </c>
      <c r="M90" s="51" cm="1">
        <f t="array" ref="M90:M101">TRANSPOSE(IF(ISNUMBER(SEARCH("v2",X24:AI24)),1,0))</f>
        <v>0</v>
      </c>
      <c r="N90" s="51" cm="1">
        <f t="array" ref="N90:N101">TRANSPOSE(IF(ISNUMBER(SEARCH("v3",X24:AI24)),1,0))</f>
        <v>0</v>
      </c>
      <c r="O90" s="51" cm="1">
        <f t="array" ref="O90:O101">TRANSPOSE(IF(ISNUMBER(SEARCH("v4",X24:AI24)),1,0))</f>
        <v>0</v>
      </c>
      <c r="P90" s="11">
        <v>1</v>
      </c>
      <c r="Q90" s="54">
        <f ca="1">IF(E90="Undetermined", "", IF(T90=1, "#N/A", IF(P90=1, K90*(10^((E90-$Y$54)/$Y$53)), IF(P90=2, K90*(10^((E90-$Z$54)/$Z$53)), IF(P90=3, K90*(10^((E90-$AA$54)/$AA$53)), IF(P90=4, K90*(10^((E90-$AB$54)/$AB$53)), IF(P90=5, K90*(10^((E90-$AC$54)/$AC$53)), IF(P90=6, K90*(10^((E90-$AD$54)/$AD$53)), "invalid std"))))))))</f>
        <v>18.472102602110152</v>
      </c>
      <c r="R90" s="54">
        <f t="shared" ca="1" si="11"/>
        <v>19.07349181679659</v>
      </c>
      <c r="S90" s="54" t="str">
        <f t="shared" ca="1" si="12"/>
        <v/>
      </c>
      <c r="T90" s="11">
        <v>0</v>
      </c>
      <c r="U90" s="12"/>
      <c r="W90" s="97" t="s">
        <v>32</v>
      </c>
      <c r="X90" s="98" cm="1">
        <f t="array" aca="1" ref="X90:AI90" ca="1">TRANSPOSE(R66:R77)</f>
        <v>13.43736132746233</v>
      </c>
      <c r="Y90" s="99">
        <f ca="1"/>
        <v>13.43736132746233</v>
      </c>
      <c r="Z90" s="99">
        <f ca="1"/>
        <v>72.049360973240397</v>
      </c>
      <c r="AA90" s="99">
        <f ca="1"/>
        <v>72.049360973240397</v>
      </c>
      <c r="AB90" s="99">
        <f ca="1"/>
        <v>0.61352860138755627</v>
      </c>
      <c r="AC90" s="99">
        <f ca="1"/>
        <v>0.61352860138755627</v>
      </c>
      <c r="AD90" s="99">
        <f ca="1"/>
        <v>8.2082464906456032</v>
      </c>
      <c r="AE90" s="99">
        <f ca="1"/>
        <v>8.2082464906456032</v>
      </c>
      <c r="AF90" s="99">
        <f ca="1"/>
        <v>18.428789084283533</v>
      </c>
      <c r="AG90" s="99">
        <f ca="1"/>
        <v>18.428789084283533</v>
      </c>
      <c r="AH90" s="99">
        <f ca="1"/>
        <v>93.490313997311574</v>
      </c>
      <c r="AI90" s="100" t="str">
        <f ca="1"/>
        <v/>
      </c>
    </row>
    <row r="91" spans="1:44" x14ac:dyDescent="0.25">
      <c r="A91" s="42">
        <v>86</v>
      </c>
      <c r="B91" s="42" t="s">
        <v>129</v>
      </c>
      <c r="C91" s="13" t="s">
        <v>216</v>
      </c>
      <c r="D91" s="14" t="s">
        <v>162</v>
      </c>
      <c r="E91" s="15">
        <v>23.574999999999999</v>
      </c>
      <c r="F91" s="16">
        <v>80.956289999999996</v>
      </c>
      <c r="G91" s="17">
        <v>0.1</v>
      </c>
      <c r="H91" s="49" t="str">
        <v>NFL-163</v>
      </c>
      <c r="I91" s="18"/>
      <c r="J91" s="19">
        <v>36</v>
      </c>
      <c r="K91" s="52" t="str">
        <v>10</v>
      </c>
      <c r="L91" s="52">
        <v>1</v>
      </c>
      <c r="M91" s="52">
        <v>0</v>
      </c>
      <c r="N91" s="52">
        <v>0</v>
      </c>
      <c r="O91" s="52">
        <v>0</v>
      </c>
      <c r="P91" s="19">
        <v>1</v>
      </c>
      <c r="Q91" s="55">
        <f t="shared" ref="Q91:Q101" ca="1" si="13">IF(E91="Undetermined", "", IF(T91=1, "#N/A", IF(P91=1, K91*(10^((E91-$Y$54)/$Y$53)), IF(P91=2, K91*(10^((E91-$Z$54)/$Z$53)), IF(P91=3, K91*(10^((E91-$AA$54)/$AA$53)), IF(P91=4, K91*(10^((E91-$AB$54)/$AB$53)), IF(P91=5, K91*(10^((E91-$AC$54)/$AC$53)), IF(P91=6, K91*(10^((E91-$AD$54)/$AD$53)), "invalid std"))))))))</f>
        <v>19.674881031483025</v>
      </c>
      <c r="R91" s="55">
        <f t="shared" ca="1" si="11"/>
        <v>19.07349181679659</v>
      </c>
      <c r="S91" s="55" t="str">
        <f t="shared" ca="1" si="12"/>
        <v/>
      </c>
      <c r="T91" s="19">
        <v>0</v>
      </c>
      <c r="U91" s="20"/>
      <c r="W91" s="61" t="s">
        <v>34</v>
      </c>
      <c r="X91" s="98" cm="1">
        <f t="array" aca="1" ref="X91:AI91" ca="1">TRANSPOSE(R78:R89)</f>
        <v>13.597718771454243</v>
      </c>
      <c r="Y91" s="99">
        <f ca="1"/>
        <v>13.597718771454243</v>
      </c>
      <c r="Z91" s="99">
        <f ca="1"/>
        <v>35.788575793269885</v>
      </c>
      <c r="AA91" s="99">
        <f ca="1"/>
        <v>35.788575793269885</v>
      </c>
      <c r="AB91" s="99">
        <f ca="1"/>
        <v>0.12787762452478998</v>
      </c>
      <c r="AC91" s="99">
        <f ca="1"/>
        <v>0.12787762452478998</v>
      </c>
      <c r="AD91" s="99">
        <f ca="1"/>
        <v>9.7299020355723318</v>
      </c>
      <c r="AE91" s="99">
        <f ca="1"/>
        <v>9.7299020355723318</v>
      </c>
      <c r="AF91" s="99">
        <f ca="1"/>
        <v>4.6839306427639009</v>
      </c>
      <c r="AG91" s="99">
        <f ca="1"/>
        <v>4.6839306427639009</v>
      </c>
      <c r="AH91" s="99">
        <f ca="1"/>
        <v>80.157282176457329</v>
      </c>
      <c r="AI91" s="100" t="str">
        <f ca="1"/>
        <v/>
      </c>
    </row>
    <row r="92" spans="1:44" x14ac:dyDescent="0.25">
      <c r="A92" s="42">
        <v>87</v>
      </c>
      <c r="B92" s="42" t="s">
        <v>130</v>
      </c>
      <c r="C92" s="13" t="s">
        <v>216</v>
      </c>
      <c r="D92" s="14" t="s">
        <v>162</v>
      </c>
      <c r="E92" s="15">
        <v>22.216000000000001</v>
      </c>
      <c r="F92" s="16">
        <v>80.956289999999996</v>
      </c>
      <c r="G92" s="17">
        <v>0.1</v>
      </c>
      <c r="H92" s="49" t="str">
        <v>NFL-171</v>
      </c>
      <c r="I92" s="18"/>
      <c r="J92" s="19">
        <v>37</v>
      </c>
      <c r="K92" s="52" t="str">
        <v>10</v>
      </c>
      <c r="L92" s="52">
        <v>1</v>
      </c>
      <c r="M92" s="52">
        <v>0</v>
      </c>
      <c r="N92" s="52">
        <v>0</v>
      </c>
      <c r="O92" s="52">
        <v>0</v>
      </c>
      <c r="P92" s="19">
        <v>1</v>
      </c>
      <c r="Q92" s="55">
        <f t="shared" ca="1" si="13"/>
        <v>49.956898941466036</v>
      </c>
      <c r="R92" s="55">
        <f ca="1">IFERROR(AVERAGEIF(J:J,J92,Q:Q),"")</f>
        <v>49.164770026172938</v>
      </c>
      <c r="S92" s="55" t="str">
        <f t="shared" ca="1" si="12"/>
        <v/>
      </c>
      <c r="T92" s="19">
        <v>0</v>
      </c>
      <c r="U92" s="20"/>
      <c r="W92" s="97" t="s">
        <v>36</v>
      </c>
      <c r="X92" s="101" cm="1">
        <f t="array" aca="1" ref="X92:AI92" ca="1">TRANSPOSE(R90:R101)</f>
        <v>19.07349181679659</v>
      </c>
      <c r="Y92" s="102">
        <f ca="1"/>
        <v>19.07349181679659</v>
      </c>
      <c r="Z92" s="102">
        <f ca="1"/>
        <v>49.164770026172938</v>
      </c>
      <c r="AA92" s="102">
        <f ca="1"/>
        <v>49.164770026172938</v>
      </c>
      <c r="AB92" s="102">
        <f ca="1"/>
        <v>3.3532925308425235E-3</v>
      </c>
      <c r="AC92" s="102">
        <f ca="1"/>
        <v>3.3532925308425235E-3</v>
      </c>
      <c r="AD92" s="102">
        <f ca="1"/>
        <v>7.8787172821978766</v>
      </c>
      <c r="AE92" s="102">
        <f ca="1"/>
        <v>7.8787172821978766</v>
      </c>
      <c r="AF92" s="102">
        <f ca="1"/>
        <v>11.163596117728147</v>
      </c>
      <c r="AG92" s="102">
        <f ca="1"/>
        <v>11.163596117728147</v>
      </c>
      <c r="AH92" s="102">
        <f ca="1"/>
        <v>80.157282176457329</v>
      </c>
      <c r="AI92" s="103" t="str">
        <f ca="1"/>
        <v/>
      </c>
    </row>
    <row r="93" spans="1:44" x14ac:dyDescent="0.25">
      <c r="A93" s="42">
        <v>88</v>
      </c>
      <c r="B93" s="42" t="s">
        <v>131</v>
      </c>
      <c r="C93" s="13" t="s">
        <v>216</v>
      </c>
      <c r="D93" s="14" t="s">
        <v>162</v>
      </c>
      <c r="E93" s="15">
        <v>22.263000000000002</v>
      </c>
      <c r="F93" s="16">
        <v>80.956289999999996</v>
      </c>
      <c r="G93" s="17">
        <v>0.1</v>
      </c>
      <c r="H93" s="49" t="str">
        <v>NFL-171</v>
      </c>
      <c r="I93" s="18"/>
      <c r="J93" s="19">
        <v>37</v>
      </c>
      <c r="K93" s="52" t="str">
        <v>10</v>
      </c>
      <c r="L93" s="52">
        <v>1</v>
      </c>
      <c r="M93" s="52">
        <v>0</v>
      </c>
      <c r="N93" s="52">
        <v>0</v>
      </c>
      <c r="O93" s="52">
        <v>0</v>
      </c>
      <c r="P93" s="19">
        <v>1</v>
      </c>
      <c r="Q93" s="55">
        <f t="shared" ca="1" si="13"/>
        <v>48.37264111087984</v>
      </c>
      <c r="R93" s="55">
        <f t="shared" ref="R93:R101" ca="1" si="14">IFERROR(AVERAGEIF(J:J,J93,Q:Q),"")</f>
        <v>49.164770026172938</v>
      </c>
      <c r="S93" s="55" t="str">
        <f t="shared" ca="1" si="12"/>
        <v/>
      </c>
      <c r="T93" s="19">
        <v>0</v>
      </c>
      <c r="U93" s="20"/>
    </row>
    <row r="94" spans="1:44" x14ac:dyDescent="0.25">
      <c r="A94" s="42">
        <v>89</v>
      </c>
      <c r="B94" s="42" t="s">
        <v>132</v>
      </c>
      <c r="C94" s="13" t="s">
        <v>217</v>
      </c>
      <c r="D94" s="14" t="s">
        <v>162</v>
      </c>
      <c r="E94" s="15">
        <v>32.929000000000002</v>
      </c>
      <c r="F94" s="16">
        <v>80.956289999999996</v>
      </c>
      <c r="G94" s="17">
        <v>0.1</v>
      </c>
      <c r="H94" s="49" t="str">
        <v>std1[0]_progen#62008</v>
      </c>
      <c r="I94" s="18"/>
      <c r="J94" s="19">
        <v>38</v>
      </c>
      <c r="K94" s="52" t="str">
        <v>1</v>
      </c>
      <c r="L94" s="52">
        <v>1</v>
      </c>
      <c r="M94" s="52">
        <v>0</v>
      </c>
      <c r="N94" s="52">
        <v>0</v>
      </c>
      <c r="O94" s="52">
        <v>0</v>
      </c>
      <c r="P94" s="19">
        <v>1</v>
      </c>
      <c r="Q94" s="55">
        <f t="shared" ca="1" si="13"/>
        <v>3.2245987131330526E-3</v>
      </c>
      <c r="R94" s="55">
        <f t="shared" ca="1" si="14"/>
        <v>3.3532925308425235E-3</v>
      </c>
      <c r="S94" s="55" t="str">
        <f t="shared" ca="1" si="12"/>
        <v/>
      </c>
      <c r="T94" s="19">
        <v>0</v>
      </c>
      <c r="U94" s="20"/>
    </row>
    <row r="95" spans="1:44" x14ac:dyDescent="0.25">
      <c r="A95" s="42">
        <v>90</v>
      </c>
      <c r="B95" s="42" t="s">
        <v>133</v>
      </c>
      <c r="C95" s="13" t="s">
        <v>217</v>
      </c>
      <c r="D95" s="14" t="s">
        <v>162</v>
      </c>
      <c r="E95" s="15">
        <v>32.817</v>
      </c>
      <c r="F95" s="16">
        <v>80.956289999999996</v>
      </c>
      <c r="G95" s="17">
        <v>0.1</v>
      </c>
      <c r="H95" s="49" t="str">
        <v>std1[0]_progen#62008</v>
      </c>
      <c r="I95" s="18"/>
      <c r="J95" s="19">
        <v>38</v>
      </c>
      <c r="K95" s="52" t="str">
        <v>1</v>
      </c>
      <c r="L95" s="52">
        <v>1</v>
      </c>
      <c r="M95" s="52">
        <v>0</v>
      </c>
      <c r="N95" s="52">
        <v>0</v>
      </c>
      <c r="O95" s="52">
        <v>0</v>
      </c>
      <c r="P95" s="19">
        <v>1</v>
      </c>
      <c r="Q95" s="55">
        <f t="shared" ca="1" si="13"/>
        <v>3.4819863485519948E-3</v>
      </c>
      <c r="R95" s="55">
        <f t="shared" ca="1" si="14"/>
        <v>3.3532925308425235E-3</v>
      </c>
      <c r="S95" s="55" t="str">
        <f t="shared" ca="1" si="12"/>
        <v/>
      </c>
      <c r="T95" s="19">
        <v>0</v>
      </c>
      <c r="U95" s="20"/>
      <c r="AL95" s="30"/>
      <c r="AM95" s="30"/>
      <c r="AN95" s="30"/>
      <c r="AO95" s="30"/>
    </row>
    <row r="96" spans="1:44" x14ac:dyDescent="0.25">
      <c r="A96" s="42">
        <v>91</v>
      </c>
      <c r="B96" s="42" t="s">
        <v>134</v>
      </c>
      <c r="C96" s="13" t="s">
        <v>216</v>
      </c>
      <c r="D96" s="14" t="s">
        <v>162</v>
      </c>
      <c r="E96" s="15">
        <v>24.882000000000001</v>
      </c>
      <c r="F96" s="16">
        <v>80.956289999999996</v>
      </c>
      <c r="G96" s="17">
        <v>0.1</v>
      </c>
      <c r="H96" s="49" t="str">
        <v>NFL-179</v>
      </c>
      <c r="I96" s="18"/>
      <c r="J96" s="19">
        <v>39</v>
      </c>
      <c r="K96" s="52" t="str">
        <v>10</v>
      </c>
      <c r="L96" s="52">
        <v>1</v>
      </c>
      <c r="M96" s="52">
        <v>0</v>
      </c>
      <c r="N96" s="52">
        <v>0</v>
      </c>
      <c r="O96" s="52">
        <v>0</v>
      </c>
      <c r="P96" s="19">
        <v>1</v>
      </c>
      <c r="Q96" s="55">
        <f t="shared" ca="1" si="13"/>
        <v>8.029959058718104</v>
      </c>
      <c r="R96" s="55">
        <f t="shared" ca="1" si="14"/>
        <v>7.8787172821978766</v>
      </c>
      <c r="S96" s="55" t="str">
        <f t="shared" ca="1" si="12"/>
        <v/>
      </c>
      <c r="T96" s="19">
        <v>0</v>
      </c>
      <c r="U96" s="20"/>
      <c r="AL96" s="30"/>
    </row>
    <row r="97" spans="1:21" x14ac:dyDescent="0.25">
      <c r="A97" s="42">
        <v>92</v>
      </c>
      <c r="B97" s="42" t="s">
        <v>135</v>
      </c>
      <c r="C97" s="13" t="s">
        <v>216</v>
      </c>
      <c r="D97" s="14" t="s">
        <v>162</v>
      </c>
      <c r="E97" s="15">
        <v>24.937999999999999</v>
      </c>
      <c r="F97" s="16">
        <v>80.956289999999996</v>
      </c>
      <c r="G97" s="17">
        <v>0.1</v>
      </c>
      <c r="H97" s="49" t="str">
        <v>NFL-179</v>
      </c>
      <c r="I97" s="18"/>
      <c r="J97" s="19">
        <v>39</v>
      </c>
      <c r="K97" s="52" t="str">
        <v>10</v>
      </c>
      <c r="L97" s="52">
        <v>1</v>
      </c>
      <c r="M97" s="52">
        <v>0</v>
      </c>
      <c r="N97" s="52">
        <v>0</v>
      </c>
      <c r="O97" s="52">
        <v>0</v>
      </c>
      <c r="P97" s="19">
        <v>1</v>
      </c>
      <c r="Q97" s="55">
        <f t="shared" ca="1" si="13"/>
        <v>7.7274755056776492</v>
      </c>
      <c r="R97" s="55">
        <f t="shared" ca="1" si="14"/>
        <v>7.8787172821978766</v>
      </c>
      <c r="S97" s="55" t="str">
        <f t="shared" ca="1" si="12"/>
        <v/>
      </c>
      <c r="T97" s="19">
        <v>0</v>
      </c>
      <c r="U97" s="20"/>
    </row>
    <row r="98" spans="1:21" x14ac:dyDescent="0.25">
      <c r="A98" s="42">
        <v>93</v>
      </c>
      <c r="B98" s="42" t="s">
        <v>136</v>
      </c>
      <c r="C98" s="13" t="s">
        <v>216</v>
      </c>
      <c r="D98" s="14" t="s">
        <v>162</v>
      </c>
      <c r="E98" s="15">
        <v>24.41</v>
      </c>
      <c r="F98" s="16">
        <v>80.707504</v>
      </c>
      <c r="G98" s="17">
        <v>0.1</v>
      </c>
      <c r="H98" s="49" t="str">
        <v>NFL-187</v>
      </c>
      <c r="I98" s="18"/>
      <c r="J98" s="19">
        <v>40</v>
      </c>
      <c r="K98" s="52" t="str">
        <v>10</v>
      </c>
      <c r="L98" s="52">
        <v>1</v>
      </c>
      <c r="M98" s="52">
        <v>0</v>
      </c>
      <c r="N98" s="52">
        <v>0</v>
      </c>
      <c r="O98" s="52">
        <v>0</v>
      </c>
      <c r="P98" s="19">
        <v>1</v>
      </c>
      <c r="Q98" s="55">
        <f t="shared" ca="1" si="13"/>
        <v>11.09853377452146</v>
      </c>
      <c r="R98" s="55">
        <f t="shared" ca="1" si="14"/>
        <v>11.163596117728147</v>
      </c>
      <c r="S98" s="55" t="str">
        <f t="shared" ca="1" si="12"/>
        <v/>
      </c>
      <c r="T98" s="19">
        <v>0</v>
      </c>
      <c r="U98" s="20"/>
    </row>
    <row r="99" spans="1:21" x14ac:dyDescent="0.25">
      <c r="A99" s="42">
        <v>94</v>
      </c>
      <c r="B99" s="42" t="s">
        <v>137</v>
      </c>
      <c r="C99" s="13" t="s">
        <v>216</v>
      </c>
      <c r="D99" s="14" t="s">
        <v>162</v>
      </c>
      <c r="E99" s="15">
        <v>24.393000000000001</v>
      </c>
      <c r="F99" s="16">
        <v>80.707504</v>
      </c>
      <c r="G99" s="17">
        <v>0.1</v>
      </c>
      <c r="H99" s="49" t="str">
        <v>NFL-187</v>
      </c>
      <c r="I99" s="18"/>
      <c r="J99" s="19">
        <v>40</v>
      </c>
      <c r="K99" s="52" t="str">
        <v>10</v>
      </c>
      <c r="L99" s="52">
        <v>1</v>
      </c>
      <c r="M99" s="52">
        <v>0</v>
      </c>
      <c r="N99" s="52">
        <v>0</v>
      </c>
      <c r="O99" s="52">
        <v>0</v>
      </c>
      <c r="P99" s="19">
        <v>1</v>
      </c>
      <c r="Q99" s="55">
        <f t="shared" ca="1" si="13"/>
        <v>11.228658460934835</v>
      </c>
      <c r="R99" s="55">
        <f t="shared" ca="1" si="14"/>
        <v>11.163596117728147</v>
      </c>
      <c r="S99" s="55" t="str">
        <f t="shared" ca="1" si="12"/>
        <v/>
      </c>
      <c r="T99" s="19">
        <v>0</v>
      </c>
      <c r="U99" s="20"/>
    </row>
    <row r="100" spans="1:21" x14ac:dyDescent="0.25">
      <c r="A100" s="42">
        <v>95</v>
      </c>
      <c r="B100" s="42" t="s">
        <v>138</v>
      </c>
      <c r="C100" s="13" t="s">
        <v>215</v>
      </c>
      <c r="D100" s="14" t="s">
        <v>162</v>
      </c>
      <c r="E100" s="15">
        <v>21.584</v>
      </c>
      <c r="F100" s="16">
        <v>80.707504</v>
      </c>
      <c r="G100" s="17">
        <v>0.1</v>
      </c>
      <c r="H100" s="49" t="str">
        <v>NFL-QC-H</v>
      </c>
      <c r="I100" s="18"/>
      <c r="J100" s="19">
        <v>44</v>
      </c>
      <c r="K100" s="52" t="str">
        <v>10</v>
      </c>
      <c r="L100" s="52">
        <v>1</v>
      </c>
      <c r="M100" s="52">
        <v>0</v>
      </c>
      <c r="N100" s="52">
        <v>0</v>
      </c>
      <c r="O100" s="52">
        <v>0</v>
      </c>
      <c r="P100" s="19">
        <v>1</v>
      </c>
      <c r="Q100" s="55">
        <f t="shared" ca="1" si="13"/>
        <v>77.053538687313306</v>
      </c>
      <c r="R100" s="55">
        <f t="shared" ca="1" si="14"/>
        <v>80.157282176457329</v>
      </c>
      <c r="S100" s="55" t="str">
        <f t="shared" ca="1" si="12"/>
        <v/>
      </c>
      <c r="T100" s="19">
        <v>0</v>
      </c>
      <c r="U100" s="20"/>
    </row>
    <row r="101" spans="1:21" x14ac:dyDescent="0.25">
      <c r="A101" s="43">
        <v>96</v>
      </c>
      <c r="B101" s="43" t="s">
        <v>139</v>
      </c>
      <c r="C101" s="21" t="s">
        <v>218</v>
      </c>
      <c r="D101" s="22" t="s">
        <v>162</v>
      </c>
      <c r="E101" s="23" t="s">
        <v>164</v>
      </c>
      <c r="F101" s="24">
        <v>0</v>
      </c>
      <c r="G101" s="25">
        <v>0.1</v>
      </c>
      <c r="H101" s="50" t="str">
        <v>unused</v>
      </c>
      <c r="I101" s="26"/>
      <c r="J101" s="27">
        <v>45</v>
      </c>
      <c r="K101" s="53" t="str">
        <v>1</v>
      </c>
      <c r="L101" s="53">
        <v>1</v>
      </c>
      <c r="M101" s="53">
        <v>0</v>
      </c>
      <c r="N101" s="53">
        <v>0</v>
      </c>
      <c r="O101" s="53">
        <v>0</v>
      </c>
      <c r="P101" s="27">
        <v>1</v>
      </c>
      <c r="Q101" s="56" t="str">
        <f t="shared" si="13"/>
        <v/>
      </c>
      <c r="R101" s="56" t="str">
        <f t="shared" si="14"/>
        <v/>
      </c>
      <c r="S101" s="56" t="str">
        <f t="shared" si="12"/>
        <v/>
      </c>
      <c r="T101" s="27">
        <v>1</v>
      </c>
      <c r="U101" s="28"/>
    </row>
    <row r="108" spans="1:21" x14ac:dyDescent="0.25">
      <c r="E108" s="1"/>
    </row>
    <row r="109" spans="1:21" x14ac:dyDescent="0.25">
      <c r="E109" s="1"/>
    </row>
    <row r="110" spans="1:21" x14ac:dyDescent="0.25">
      <c r="E110" s="1"/>
    </row>
    <row r="111" spans="1:21" x14ac:dyDescent="0.25">
      <c r="E111" s="1"/>
    </row>
    <row r="112" spans="1:21" x14ac:dyDescent="0.25">
      <c r="E112" s="1"/>
    </row>
  </sheetData>
  <mergeCells count="1">
    <mergeCell ref="AB14:AC14"/>
  </mergeCells>
  <phoneticPr fontId="9" type="noConversion"/>
  <conditionalFormatting sqref="J6:J101">
    <cfRule type="expression" dxfId="105" priority="123">
      <formula>_xlfn.MAXIFS(E:E,J:J,J6)-_xlfn.MINIFS(E:E,J:J,J6)&gt;0.3785</formula>
    </cfRule>
  </conditionalFormatting>
  <conditionalFormatting sqref="L6:O101">
    <cfRule type="cellIs" dxfId="104" priority="126" operator="equal">
      <formula>0</formula>
    </cfRule>
  </conditionalFormatting>
  <conditionalFormatting sqref="Q6:Q101">
    <cfRule type="containsText" dxfId="103" priority="20" operator="containsText" text="#N/A">
      <formula>NOT(ISERROR(SEARCH("#N/A",Q6)))</formula>
    </cfRule>
  </conditionalFormatting>
  <conditionalFormatting sqref="S6:S101">
    <cfRule type="cellIs" dxfId="102" priority="124" operator="between">
      <formula>1.3</formula>
      <formula>9999999999999990</formula>
    </cfRule>
    <cfRule type="cellIs" dxfId="101" priority="125" operator="between">
      <formula>0.01</formula>
      <formula>0.7</formula>
    </cfRule>
  </conditionalFormatting>
  <conditionalFormatting sqref="T6:T101">
    <cfRule type="cellIs" dxfId="100" priority="19" operator="equal">
      <formula>1</formula>
    </cfRule>
  </conditionalFormatting>
  <conditionalFormatting sqref="X32">
    <cfRule type="expression" dxfId="99" priority="116">
      <formula>_xlfn.MAXIFS(E:E,J:J,J6)-_xlfn.MINIFS(E:E,J:J,J6)&gt;0.3785</formula>
    </cfRule>
  </conditionalFormatting>
  <conditionalFormatting sqref="X33">
    <cfRule type="expression" dxfId="98" priority="115">
      <formula>_xlfn.MAXIFS(E:E,J:J,J18)-_xlfn.MINIFS(E:E,J:J,J18)&gt;0.3785</formula>
    </cfRule>
  </conditionalFormatting>
  <conditionalFormatting sqref="X34">
    <cfRule type="expression" dxfId="97" priority="92">
      <formula>_xlfn.MAXIFS(E:E,J:J,J30)-_xlfn.MINIFS(E:E,J:J,J30)&gt;0.3785</formula>
    </cfRule>
  </conditionalFormatting>
  <conditionalFormatting sqref="X35">
    <cfRule type="expression" dxfId="96" priority="80">
      <formula>_xlfn.MAXIFS(E:E,J:J,J42)-_xlfn.MINIFS(E:E,J:J,J42)&gt;0.3785</formula>
    </cfRule>
  </conditionalFormatting>
  <conditionalFormatting sqref="X36">
    <cfRule type="expression" dxfId="95" priority="68">
      <formula>_xlfn.MAXIFS(E:E,J:J,J54)-_xlfn.MINIFS(E:E,J:J,J54)&gt;0.3785</formula>
    </cfRule>
  </conditionalFormatting>
  <conditionalFormatting sqref="X37">
    <cfRule type="expression" dxfId="94" priority="56">
      <formula>_xlfn.MAXIFS(E:E,J:J,J66)-_xlfn.MINIFS(E:E,J:J,J66)&gt;0.3785</formula>
    </cfRule>
  </conditionalFormatting>
  <conditionalFormatting sqref="X38">
    <cfRule type="expression" dxfId="93" priority="44">
      <formula>_xlfn.MAXIFS(E:E,J:J,J78)-_xlfn.MINIFS(E:E,J:J,J78)&gt;0.3785</formula>
    </cfRule>
  </conditionalFormatting>
  <conditionalFormatting sqref="X39">
    <cfRule type="expression" dxfId="92" priority="32">
      <formula>_xlfn.MAXIFS(E:E,J:J,J90)-_xlfn.MINIFS(E:E,J:J,J90)&gt;0.3785</formula>
    </cfRule>
  </conditionalFormatting>
  <conditionalFormatting sqref="X6:AI13">
    <cfRule type="containsText" dxfId="91" priority="2" operator="containsText" text="None">
      <formula>NOT(ISERROR(SEARCH("None",X6)))</formula>
    </cfRule>
    <cfRule type="containsText" dxfId="90" priority="3" operator="containsText" text="n/a">
      <formula>NOT(ISERROR(SEARCH("n/a",X6)))</formula>
    </cfRule>
    <cfRule type="containsErrors" dxfId="89" priority="4">
      <formula>ISERROR(X6)</formula>
    </cfRule>
    <cfRule type="containsBlanks" dxfId="88" priority="5">
      <formula>LEN(TRIM(X6))=0</formula>
    </cfRule>
    <cfRule type="expression" dxfId="87" priority="1">
      <formula>ISNUMBER(X6)</formula>
    </cfRule>
  </conditionalFormatting>
  <conditionalFormatting sqref="X61:AI68">
    <cfRule type="colorScale" priority="10">
      <colorScale>
        <cfvo type="min"/>
        <cfvo type="max"/>
        <color theme="1"/>
        <color theme="0" tint="-0.499984740745262"/>
      </colorScale>
    </cfRule>
  </conditionalFormatting>
  <conditionalFormatting sqref="X73:AI8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5:AI9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2">
    <cfRule type="expression" dxfId="86" priority="114">
      <formula>_xlfn.MAXIFS(E:E,J:J,J7)-_xlfn.MINIFS(E:E,J:J,J7)&gt;0.3785</formula>
    </cfRule>
  </conditionalFormatting>
  <conditionalFormatting sqref="Y33">
    <cfRule type="expression" dxfId="85" priority="103">
      <formula>_xlfn.MAXIFS(E:E,J:J,J19)-_xlfn.MINIFS(E:E,J:J,J19)&gt;0.3785</formula>
    </cfRule>
  </conditionalFormatting>
  <conditionalFormatting sqref="Y34">
    <cfRule type="expression" dxfId="84" priority="91">
      <formula>_xlfn.MAXIFS(E:E,J:J,J31)-_xlfn.MINIFS(E:E,J:J,J31)&gt;0.3785</formula>
    </cfRule>
  </conditionalFormatting>
  <conditionalFormatting sqref="Y35">
    <cfRule type="expression" dxfId="83" priority="79">
      <formula>_xlfn.MAXIFS(E:E,J:J,J43)-_xlfn.MINIFS(E:E,J:J,J43)&gt;0.3785</formula>
    </cfRule>
  </conditionalFormatting>
  <conditionalFormatting sqref="Y36">
    <cfRule type="expression" dxfId="82" priority="67">
      <formula>_xlfn.MAXIFS(E:E,J:J,J55)-_xlfn.MINIFS(E:E,J:J,J55)&gt;0.3785</formula>
    </cfRule>
  </conditionalFormatting>
  <conditionalFormatting sqref="Y37">
    <cfRule type="expression" dxfId="81" priority="55">
      <formula>_xlfn.MAXIFS(E:E,J:J,J67)-_xlfn.MINIFS(E:E,J:J,J67)&gt;0.3785</formula>
    </cfRule>
  </conditionalFormatting>
  <conditionalFormatting sqref="Y38">
    <cfRule type="expression" dxfId="80" priority="43">
      <formula>_xlfn.MAXIFS(E:E,J:J,J79)-_xlfn.MINIFS(E:E,J:J,J79)&gt;0.3785</formula>
    </cfRule>
  </conditionalFormatting>
  <conditionalFormatting sqref="Y39">
    <cfRule type="expression" dxfId="79" priority="31">
      <formula>_xlfn.MAXIFS(E:E,J:J,J91)-_xlfn.MINIFS(E:E,J:J,J91)&gt;0.3785</formula>
    </cfRule>
  </conditionalFormatting>
  <conditionalFormatting sqref="Z32">
    <cfRule type="expression" dxfId="78" priority="113">
      <formula>_xlfn.MAXIFS(E:E,J:J,J8)-_xlfn.MINIFS(E:E,J:J,J8)&gt;0.3785</formula>
    </cfRule>
  </conditionalFormatting>
  <conditionalFormatting sqref="Z33">
    <cfRule type="expression" dxfId="77" priority="102">
      <formula>_xlfn.MAXIFS(E:E,J:J,J20)-_xlfn.MINIFS(E:E,J:J,J20)&gt;0.3785</formula>
    </cfRule>
  </conditionalFormatting>
  <conditionalFormatting sqref="Z34">
    <cfRule type="expression" dxfId="76" priority="90">
      <formula>_xlfn.MAXIFS(E:E,J:J,J32)-_xlfn.MINIFS(E:E,J:J,J32)&gt;0.3785</formula>
    </cfRule>
  </conditionalFormatting>
  <conditionalFormatting sqref="Z35">
    <cfRule type="expression" dxfId="75" priority="78">
      <formula>_xlfn.MAXIFS(E:E,J:J,J44)-_xlfn.MINIFS(E:E,J:J,J44)&gt;0.3785</formula>
    </cfRule>
  </conditionalFormatting>
  <conditionalFormatting sqref="Z36">
    <cfRule type="expression" dxfId="74" priority="66">
      <formula>_xlfn.MAXIFS(E:E,J:J,J56)-_xlfn.MINIFS(E:E,J:J,J56)&gt;0.3785</formula>
    </cfRule>
  </conditionalFormatting>
  <conditionalFormatting sqref="Z37">
    <cfRule type="expression" dxfId="73" priority="54">
      <formula>_xlfn.MAXIFS(E:E,J:J,J68)-_xlfn.MINIFS(E:E,J:J,J68)&gt;0.3785</formula>
    </cfRule>
  </conditionalFormatting>
  <conditionalFormatting sqref="Z38">
    <cfRule type="expression" dxfId="72" priority="42">
      <formula>_xlfn.MAXIFS(E:E,J:J,J80)-_xlfn.MINIFS(E:E,J:J,J80)&gt;0.3785</formula>
    </cfRule>
  </conditionalFormatting>
  <conditionalFormatting sqref="Z39">
    <cfRule type="expression" dxfId="71" priority="30">
      <formula>_xlfn.MAXIFS(E:E,J:J,J92)-_xlfn.MINIFS(E:E,J:J,J92)&gt;0.3785</formula>
    </cfRule>
  </conditionalFormatting>
  <conditionalFormatting sqref="AA32">
    <cfRule type="expression" dxfId="70" priority="112">
      <formula>_xlfn.MAXIFS(E:E,J:J,J9)-_xlfn.MINIFS(E:E,J:J,J9)&gt;0.3785</formula>
    </cfRule>
  </conditionalFormatting>
  <conditionalFormatting sqref="AA33">
    <cfRule type="expression" dxfId="69" priority="101">
      <formula>_xlfn.MAXIFS(E:E,J:J,J21)-_xlfn.MINIFS(E:E,J:J,J21)&gt;0.3785</formula>
    </cfRule>
  </conditionalFormatting>
  <conditionalFormatting sqref="AA34">
    <cfRule type="expression" dxfId="68" priority="89">
      <formula>_xlfn.MAXIFS(E:E,J:J,J33)-_xlfn.MINIFS(E:E,J:J,J33)&gt;0.3785</formula>
    </cfRule>
  </conditionalFormatting>
  <conditionalFormatting sqref="AA35">
    <cfRule type="expression" dxfId="67" priority="77">
      <formula>_xlfn.MAXIFS(E:E,J:J,J45)-_xlfn.MINIFS(E:E,J:J,J45)&gt;0.3785</formula>
    </cfRule>
  </conditionalFormatting>
  <conditionalFormatting sqref="AA36">
    <cfRule type="expression" dxfId="66" priority="65">
      <formula>_xlfn.MAXIFS(E:E,J:J,J57)-_xlfn.MINIFS(E:E,J:J,J57)&gt;0.3785</formula>
    </cfRule>
  </conditionalFormatting>
  <conditionalFormatting sqref="AA37">
    <cfRule type="expression" dxfId="65" priority="53">
      <formula>_xlfn.MAXIFS(E:E,J:J,J69)-_xlfn.MINIFS(E:E,J:J,J69)&gt;0.3785</formula>
    </cfRule>
  </conditionalFormatting>
  <conditionalFormatting sqref="AA38">
    <cfRule type="expression" dxfId="64" priority="41">
      <formula>_xlfn.MAXIFS(E:E,J:J,J81)-_xlfn.MINIFS(E:E,J:J,J81)&gt;0.3785</formula>
    </cfRule>
  </conditionalFormatting>
  <conditionalFormatting sqref="AA39">
    <cfRule type="expression" dxfId="63" priority="29">
      <formula>_xlfn.MAXIFS(E:E,J:J,J93)-_xlfn.MINIFS(E:E,J:J,J93)&gt;0.3785</formula>
    </cfRule>
  </conditionalFormatting>
  <conditionalFormatting sqref="AB32">
    <cfRule type="expression" dxfId="62" priority="111">
      <formula>_xlfn.MAXIFS(E:E,J:J,J10)-_xlfn.MINIFS(E:E,J:J,J10)&gt;0.3785</formula>
    </cfRule>
  </conditionalFormatting>
  <conditionalFormatting sqref="AB33">
    <cfRule type="expression" dxfId="61" priority="100">
      <formula>_xlfn.MAXIFS(E:E,J:J,J22)-_xlfn.MINIFS(E:E,J:J,J22)&gt;0.3785</formula>
    </cfRule>
  </conditionalFormatting>
  <conditionalFormatting sqref="AB34">
    <cfRule type="expression" dxfId="60" priority="88">
      <formula>_xlfn.MAXIFS(E:E,J:J,J34)-_xlfn.MINIFS(E:E,J:J,J34)&gt;0.3785</formula>
    </cfRule>
  </conditionalFormatting>
  <conditionalFormatting sqref="AB35">
    <cfRule type="expression" dxfId="59" priority="76">
      <formula>_xlfn.MAXIFS(E:E,J:J,J46)-_xlfn.MINIFS(E:E,J:J,J46)&gt;0.3785</formula>
    </cfRule>
  </conditionalFormatting>
  <conditionalFormatting sqref="AB36">
    <cfRule type="expression" dxfId="58" priority="64">
      <formula>_xlfn.MAXIFS(E:E,J:J,J58)-_xlfn.MINIFS(E:E,J:J,J58)&gt;0.3785</formula>
    </cfRule>
  </conditionalFormatting>
  <conditionalFormatting sqref="AB37">
    <cfRule type="expression" dxfId="57" priority="52">
      <formula>_xlfn.MAXIFS(E:E,J:J,J70)-_xlfn.MINIFS(E:E,J:J,J70)&gt;0.3785</formula>
    </cfRule>
  </conditionalFormatting>
  <conditionalFormatting sqref="AB38">
    <cfRule type="expression" dxfId="56" priority="40">
      <formula>_xlfn.MAXIFS(E:E,J:J,J82)-_xlfn.MINIFS(E:E,J:J,J82)&gt;0.3785</formula>
    </cfRule>
  </conditionalFormatting>
  <conditionalFormatting sqref="AB39">
    <cfRule type="expression" dxfId="55" priority="28">
      <formula>_xlfn.MAXIFS(E:E,J:J,J94)-_xlfn.MINIFS(E:E,J:J,J94)&gt;0.3785</formula>
    </cfRule>
  </conditionalFormatting>
  <conditionalFormatting sqref="AC32">
    <cfRule type="expression" dxfId="54" priority="110">
      <formula>_xlfn.MAXIFS(E:E,J:J,J11)-_xlfn.MINIFS(E:E,J:J,J11)&gt;0.3785</formula>
    </cfRule>
  </conditionalFormatting>
  <conditionalFormatting sqref="AC33">
    <cfRule type="expression" dxfId="53" priority="99">
      <formula>_xlfn.MAXIFS(E:E,J:J,J23)-_xlfn.MINIFS(E:E,J:J,J23)&gt;0.3785</formula>
    </cfRule>
  </conditionalFormatting>
  <conditionalFormatting sqref="AC34">
    <cfRule type="expression" dxfId="52" priority="87">
      <formula>_xlfn.MAXIFS(E:E,J:J,J35)-_xlfn.MINIFS(E:E,J:J,J35)&gt;0.3785</formula>
    </cfRule>
  </conditionalFormatting>
  <conditionalFormatting sqref="AC35">
    <cfRule type="expression" dxfId="51" priority="75">
      <formula>_xlfn.MAXIFS(E:E,J:J,J47)-_xlfn.MINIFS(E:E,J:J,J47)&gt;0.3785</formula>
    </cfRule>
  </conditionalFormatting>
  <conditionalFormatting sqref="AC36">
    <cfRule type="expression" dxfId="50" priority="63">
      <formula>_xlfn.MAXIFS(E:E,J:J,J59)-_xlfn.MINIFS(E:E,J:J,J59)&gt;0.3785</formula>
    </cfRule>
  </conditionalFormatting>
  <conditionalFormatting sqref="AC37">
    <cfRule type="expression" dxfId="49" priority="51">
      <formula>_xlfn.MAXIFS(E:E,J:J,J71)-_xlfn.MINIFS(E:E,J:J,J71)&gt;0.3785</formula>
    </cfRule>
  </conditionalFormatting>
  <conditionalFormatting sqref="AC38">
    <cfRule type="expression" dxfId="48" priority="39">
      <formula>_xlfn.MAXIFS(E:E,J:J,J83)-_xlfn.MINIFS(E:E,J:J,J83)&gt;0.3785</formula>
    </cfRule>
  </conditionalFormatting>
  <conditionalFormatting sqref="AC39">
    <cfRule type="expression" dxfId="47" priority="27">
      <formula>_xlfn.MAXIFS(E:E,J:J,J95)-_xlfn.MINIFS(E:E,J:J,J95)&gt;0.3785</formula>
    </cfRule>
  </conditionalFormatting>
  <conditionalFormatting sqref="AD33">
    <cfRule type="expression" dxfId="46" priority="98">
      <formula>_xlfn.MAXIFS(E:E,J:J,J24)-_xlfn.MINIFS(E:E,J:J,J24)&gt;0.3785</formula>
    </cfRule>
  </conditionalFormatting>
  <conditionalFormatting sqref="AD34">
    <cfRule type="expression" dxfId="45" priority="86">
      <formula>_xlfn.MAXIFS(E:E,J:J,J36)-_xlfn.MINIFS(E:E,J:J,J36)&gt;0.3785</formula>
    </cfRule>
  </conditionalFormatting>
  <conditionalFormatting sqref="AD35">
    <cfRule type="expression" dxfId="44" priority="74">
      <formula>_xlfn.MAXIFS(E:E,J:J,J48)-_xlfn.MINIFS(E:E,J:J,J48)&gt;0.3785</formula>
    </cfRule>
  </conditionalFormatting>
  <conditionalFormatting sqref="AD36">
    <cfRule type="expression" dxfId="43" priority="62">
      <formula>_xlfn.MAXIFS(E:E,J:J,J60)-_xlfn.MINIFS(E:E,J:J,J60)&gt;0.3785</formula>
    </cfRule>
  </conditionalFormatting>
  <conditionalFormatting sqref="AD37">
    <cfRule type="expression" dxfId="42" priority="50">
      <formula>_xlfn.MAXIFS(E:E,J:J,J72)-_xlfn.MINIFS(E:E,J:J,J72)&gt;0.3785</formula>
    </cfRule>
  </conditionalFormatting>
  <conditionalFormatting sqref="AD38">
    <cfRule type="expression" dxfId="41" priority="38">
      <formula>_xlfn.MAXIFS(E:E,J:J,J84)-_xlfn.MINIFS(E:E,J:J,J84)&gt;0.3785</formula>
    </cfRule>
  </conditionalFormatting>
  <conditionalFormatting sqref="AD39">
    <cfRule type="expression" dxfId="40" priority="26">
      <formula>_xlfn.MAXIFS(E:E,J:J,J96)-_xlfn.MINIFS(E:E,J:J,J96)&gt;0.3785</formula>
    </cfRule>
  </conditionalFormatting>
  <conditionalFormatting sqref="AE32">
    <cfRule type="expression" dxfId="39" priority="108">
      <formula>_xlfn.MAXIFS(E:E,J:J,J13)-_xlfn.MINIFS(E:E,J:J,J13)&gt;0.3785</formula>
    </cfRule>
  </conditionalFormatting>
  <conditionalFormatting sqref="AE33">
    <cfRule type="expression" dxfId="38" priority="97">
      <formula>_xlfn.MAXIFS(E:E,J:J,J25)-_xlfn.MINIFS(E:E,J:J,J25)&gt;0.3785</formula>
    </cfRule>
  </conditionalFormatting>
  <conditionalFormatting sqref="AE34">
    <cfRule type="expression" dxfId="37" priority="85">
      <formula>_xlfn.MAXIFS(E:E,J:J,J37)-_xlfn.MINIFS(E:E,J:J,J37)&gt;0.3785</formula>
    </cfRule>
  </conditionalFormatting>
  <conditionalFormatting sqref="AE35">
    <cfRule type="expression" dxfId="36" priority="73">
      <formula>_xlfn.MAXIFS(E:E,J:J,J49)-_xlfn.MINIFS(E:E,J:J,J49)&gt;0.3785</formula>
    </cfRule>
  </conditionalFormatting>
  <conditionalFormatting sqref="AE36">
    <cfRule type="expression" dxfId="35" priority="61">
      <formula>_xlfn.MAXIFS(E:E,J:J,J61)-_xlfn.MINIFS(E:E,J:J,J61)&gt;0.3785</formula>
    </cfRule>
  </conditionalFormatting>
  <conditionalFormatting sqref="AE37">
    <cfRule type="expression" dxfId="34" priority="49">
      <formula>_xlfn.MAXIFS(E:E,J:J,J73)-_xlfn.MINIFS(E:E,J:J,J73)&gt;0.3785</formula>
    </cfRule>
  </conditionalFormatting>
  <conditionalFormatting sqref="AE38">
    <cfRule type="expression" dxfId="33" priority="37">
      <formula>_xlfn.MAXIFS(E:E,J:J,J85)-_xlfn.MINIFS(E:E,J:J,J85)&gt;0.3785</formula>
    </cfRule>
  </conditionalFormatting>
  <conditionalFormatting sqref="AE39">
    <cfRule type="expression" dxfId="32" priority="25">
      <formula>_xlfn.MAXIFS(E:E,J:J,J97)-_xlfn.MINIFS(E:E,J:J,J97)&gt;0.3785</formula>
    </cfRule>
  </conditionalFormatting>
  <conditionalFormatting sqref="AF32">
    <cfRule type="expression" dxfId="31" priority="107">
      <formula>"MAXIFS(E:E,J:J,J13)-MINIFS(E:E,J:J,J13)&gt;0.3785"</formula>
    </cfRule>
  </conditionalFormatting>
  <conditionalFormatting sqref="AF33">
    <cfRule type="expression" dxfId="30" priority="96">
      <formula>_xlfn.MAXIFS(E:E,J:J,J26)-_xlfn.MINIFS(E:E,J:J,J26)&gt;0.3785</formula>
    </cfRule>
  </conditionalFormatting>
  <conditionalFormatting sqref="AF34">
    <cfRule type="expression" dxfId="29" priority="84">
      <formula>_xlfn.MAXIFS(E:E,J:J,J38)-_xlfn.MINIFS(E:E,J:J,J38)&gt;0.3785</formula>
    </cfRule>
  </conditionalFormatting>
  <conditionalFormatting sqref="AF35">
    <cfRule type="expression" dxfId="28" priority="72">
      <formula>_xlfn.MAXIFS(E:E,J:J,J50)-_xlfn.MINIFS(E:E,J:J,J50)&gt;0.3785</formula>
    </cfRule>
  </conditionalFormatting>
  <conditionalFormatting sqref="AF36">
    <cfRule type="expression" dxfId="27" priority="60">
      <formula>_xlfn.MAXIFS(E:E,J:J,J62)-_xlfn.MINIFS(E:E,J:J,J62)&gt;0.3785</formula>
    </cfRule>
  </conditionalFormatting>
  <conditionalFormatting sqref="AF37">
    <cfRule type="expression" dxfId="26" priority="48">
      <formula>_xlfn.MAXIFS(E:E,J:J,J74)-_xlfn.MINIFS(E:E,J:J,J74)&gt;0.3785</formula>
    </cfRule>
  </conditionalFormatting>
  <conditionalFormatting sqref="AF38">
    <cfRule type="expression" dxfId="25" priority="36">
      <formula>_xlfn.MAXIFS(E:E,J:J,J86)-_xlfn.MINIFS(E:E,J:J,J86)&gt;0.3785</formula>
    </cfRule>
  </conditionalFormatting>
  <conditionalFormatting sqref="AF39">
    <cfRule type="expression" dxfId="24" priority="24">
      <formula>_xlfn.MAXIFS(E:E,J:J,J98)-_xlfn.MINIFS(E:E,J:J,J98)&gt;0.3785</formula>
    </cfRule>
  </conditionalFormatting>
  <conditionalFormatting sqref="AG32">
    <cfRule type="expression" dxfId="23" priority="106">
      <formula>_xlfn.MAXIFS(E:E,J:J,J15)-_xlfn.MINIFS(E:E,J:J,J15)&gt;0.3785</formula>
    </cfRule>
  </conditionalFormatting>
  <conditionalFormatting sqref="AG33">
    <cfRule type="expression" dxfId="22" priority="95">
      <formula>_xlfn.MAXIFS(E:E,J:J,J27)-_xlfn.MINIFS(E:E,J:J,J27)&gt;0.3785</formula>
    </cfRule>
  </conditionalFormatting>
  <conditionalFormatting sqref="AG34">
    <cfRule type="expression" dxfId="21" priority="83">
      <formula>_xlfn.MAXIFS(E:E,J:J,J39)-_xlfn.MINIFS(E:E,J:J,J39)&gt;0.3785</formula>
    </cfRule>
  </conditionalFormatting>
  <conditionalFormatting sqref="AG35">
    <cfRule type="expression" dxfId="20" priority="71">
      <formula>_xlfn.MAXIFS(E:E,J:J,J51)-_xlfn.MINIFS(E:E,J:J,J51)&gt;0.3785</formula>
    </cfRule>
  </conditionalFormatting>
  <conditionalFormatting sqref="AG36">
    <cfRule type="expression" dxfId="19" priority="59">
      <formula>_xlfn.MAXIFS(E:E,J:J,J63)-_xlfn.MINIFS(E:E,J:J,J63)&gt;0.3785</formula>
    </cfRule>
  </conditionalFormatting>
  <conditionalFormatting sqref="AG37">
    <cfRule type="expression" dxfId="18" priority="47">
      <formula>_xlfn.MAXIFS(E:E,J:J,J75)-_xlfn.MINIFS(E:E,J:J,J75)&gt;0.3785</formula>
    </cfRule>
  </conditionalFormatting>
  <conditionalFormatting sqref="AG38">
    <cfRule type="expression" dxfId="17" priority="35">
      <formula>_xlfn.MAXIFS(E:E,J:J,J87)-_xlfn.MINIFS(E:E,J:J,J87)&gt;0.3785</formula>
    </cfRule>
  </conditionalFormatting>
  <conditionalFormatting sqref="AG39">
    <cfRule type="expression" dxfId="16" priority="23">
      <formula>_xlfn.MAXIFS(E:E,J:J,J99)-_xlfn.MINIFS(E:E,J:J,J99)&gt;0.3785</formula>
    </cfRule>
  </conditionalFormatting>
  <conditionalFormatting sqref="AH32">
    <cfRule type="expression" dxfId="15" priority="105">
      <formula>_xlfn.MAXIFS(E:E,J:J,J16)-_xlfn.MINIFS(E:E,J:J,J16)&gt;0.3785</formula>
    </cfRule>
  </conditionalFormatting>
  <conditionalFormatting sqref="AH33">
    <cfRule type="expression" dxfId="14" priority="94">
      <formula>_xlfn.MAXIFS(E:E,J:J,J28)-_xlfn.MINIFS(E:E,J:J,J28)&gt;0.3785</formula>
    </cfRule>
  </conditionalFormatting>
  <conditionalFormatting sqref="AH34">
    <cfRule type="expression" dxfId="13" priority="82">
      <formula>_xlfn.MAXIFS(E:E,J:J,J40)-_xlfn.MINIFS(E:E,J:J,J40)&gt;0.3785</formula>
    </cfRule>
  </conditionalFormatting>
  <conditionalFormatting sqref="AH35">
    <cfRule type="expression" dxfId="12" priority="70">
      <formula>_xlfn.MAXIFS(E:E,J:J,J52)-_xlfn.MINIFS(E:E,J:J,J52)&gt;0.3785</formula>
    </cfRule>
  </conditionalFormatting>
  <conditionalFormatting sqref="AH36">
    <cfRule type="expression" dxfId="11" priority="58">
      <formula>_xlfn.MAXIFS(E:E,J:J,J64)-_xlfn.MINIFS(E:E,J:J,J64)&gt;0.3785</formula>
    </cfRule>
  </conditionalFormatting>
  <conditionalFormatting sqref="AH37">
    <cfRule type="expression" dxfId="10" priority="46">
      <formula>_xlfn.MAXIFS(E:E,J:J,J76)-_xlfn.MINIFS(E:E,J:J,J76)&gt;0.3785</formula>
    </cfRule>
  </conditionalFormatting>
  <conditionalFormatting sqref="AH38">
    <cfRule type="expression" dxfId="9" priority="34">
      <formula>_xlfn.MAXIFS(E:E,J:J,J88)-_xlfn.MINIFS(E:E,J:J,J88)&gt;0.3785</formula>
    </cfRule>
  </conditionalFormatting>
  <conditionalFormatting sqref="AH39">
    <cfRule type="expression" dxfId="8" priority="22">
      <formula>_xlfn.MAXIFS(E:E,J:J,J100)-_xlfn.MINIFS(E:E,J:J,J100)&gt;0.3785</formula>
    </cfRule>
  </conditionalFormatting>
  <conditionalFormatting sqref="AI32">
    <cfRule type="expression" dxfId="7" priority="104">
      <formula>_xlfn.MAXIFS(E:E,J:J,J17)-_xlfn.MINIFS(E:E,J:J,J17)&gt;0.3785</formula>
    </cfRule>
  </conditionalFormatting>
  <conditionalFormatting sqref="AI33">
    <cfRule type="expression" dxfId="6" priority="93">
      <formula>_xlfn.MAXIFS(E:E,J:J,J29)-_xlfn.MINIFS(E:E,J:J,J29)&gt;0.3785</formula>
    </cfRule>
  </conditionalFormatting>
  <conditionalFormatting sqref="AI34">
    <cfRule type="expression" dxfId="5" priority="81">
      <formula>_xlfn.MAXIFS(E:E,J:J,J41)-_xlfn.MINIFS(E:E,J:J,J41)&gt;0.3785</formula>
    </cfRule>
  </conditionalFormatting>
  <conditionalFormatting sqref="AI35">
    <cfRule type="expression" dxfId="4" priority="69">
      <formula>_xlfn.MAXIFS(E:E,J:J,J53)-_xlfn.MINIFS(E:E,J:J,J53)&gt;0.3785</formula>
    </cfRule>
  </conditionalFormatting>
  <conditionalFormatting sqref="AI36">
    <cfRule type="expression" dxfId="3" priority="57">
      <formula>_xlfn.MAXIFS(E:E,J:J,J65)-_xlfn.MINIFS(E:E,J:J,J65)&gt;0.3785</formula>
    </cfRule>
  </conditionalFormatting>
  <conditionalFormatting sqref="AI37">
    <cfRule type="expression" dxfId="2" priority="45">
      <formula>_xlfn.MAXIFS(E:E,J:J,J77)-_xlfn.MINIFS(E:E,J:J,J77)&gt;0.3785</formula>
    </cfRule>
  </conditionalFormatting>
  <conditionalFormatting sqref="AI38">
    <cfRule type="expression" dxfId="1" priority="33">
      <formula>_xlfn.MAXIFS(E:E,J:J,J89)-_xlfn.MINIFS(E:E,J:J,J89)&gt;0.3785</formula>
    </cfRule>
  </conditionalFormatting>
  <conditionalFormatting sqref="AI39">
    <cfRule type="expression" dxfId="0" priority="21">
      <formula>_xlfn.MAXIFS(E:E,J:J,J101)-_xlfn.MINIFS(E:E,J:J,J101)&gt;0.3785</formula>
    </cfRule>
  </conditionalFormatting>
  <pageMargins left="0.7" right="0.7" top="0.75" bottom="0.75" header="0.3" footer="0.3"/>
  <pageSetup paperSize="9" scale="22" orientation="portrait" r:id="rId1"/>
  <ignoredErrors>
    <ignoredError sqref="X73:AI74 X76:AI80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3D6E-4F70-4B36-8E3F-8AF8FD8BF2BE}">
  <dimension ref="A1:D96"/>
  <sheetViews>
    <sheetView topLeftCell="A43" workbookViewId="0">
      <selection sqref="A1:D96"/>
    </sheetView>
  </sheetViews>
  <sheetFormatPr defaultRowHeight="15" x14ac:dyDescent="0.25"/>
  <sheetData>
    <row r="1" spans="1:4" x14ac:dyDescent="0.25">
      <c r="A1" t="s">
        <v>215</v>
      </c>
      <c r="B1" t="s">
        <v>162</v>
      </c>
      <c r="C1">
        <v>21.27</v>
      </c>
      <c r="D1">
        <v>80.707504</v>
      </c>
    </row>
    <row r="2" spans="1:4" x14ac:dyDescent="0.25">
      <c r="A2" t="s">
        <v>215</v>
      </c>
      <c r="B2" t="s">
        <v>162</v>
      </c>
      <c r="C2">
        <v>21.879000000000001</v>
      </c>
      <c r="D2">
        <v>80.707504</v>
      </c>
    </row>
    <row r="3" spans="1:4" x14ac:dyDescent="0.25">
      <c r="A3" t="s">
        <v>216</v>
      </c>
      <c r="B3" t="s">
        <v>162</v>
      </c>
      <c r="C3">
        <v>21.475000000000001</v>
      </c>
      <c r="D3">
        <v>80.707504</v>
      </c>
    </row>
    <row r="4" spans="1:4" x14ac:dyDescent="0.25">
      <c r="A4" t="s">
        <v>216</v>
      </c>
      <c r="B4" t="s">
        <v>162</v>
      </c>
      <c r="C4">
        <v>21.466000000000001</v>
      </c>
      <c r="D4">
        <v>80.707504</v>
      </c>
    </row>
    <row r="5" spans="1:4" x14ac:dyDescent="0.25">
      <c r="A5" t="s">
        <v>217</v>
      </c>
      <c r="B5" t="s">
        <v>162</v>
      </c>
      <c r="C5">
        <v>13.430999999999999</v>
      </c>
      <c r="D5">
        <v>80.707504</v>
      </c>
    </row>
    <row r="6" spans="1:4" x14ac:dyDescent="0.25">
      <c r="A6" t="s">
        <v>217</v>
      </c>
      <c r="B6" t="s">
        <v>162</v>
      </c>
      <c r="C6">
        <v>13.622</v>
      </c>
      <c r="D6">
        <v>80.956289999999996</v>
      </c>
    </row>
    <row r="7" spans="1:4" x14ac:dyDescent="0.25">
      <c r="A7" t="s">
        <v>216</v>
      </c>
      <c r="B7" t="s">
        <v>162</v>
      </c>
      <c r="C7">
        <v>24.148</v>
      </c>
      <c r="D7">
        <v>80.956289999999996</v>
      </c>
    </row>
    <row r="8" spans="1:4" x14ac:dyDescent="0.25">
      <c r="A8" t="s">
        <v>216</v>
      </c>
      <c r="B8" t="s">
        <v>162</v>
      </c>
      <c r="C8">
        <v>24.302</v>
      </c>
      <c r="D8">
        <v>80.707504</v>
      </c>
    </row>
    <row r="9" spans="1:4" x14ac:dyDescent="0.25">
      <c r="A9" t="s">
        <v>216</v>
      </c>
      <c r="B9" t="s">
        <v>162</v>
      </c>
      <c r="C9">
        <v>24.309000000000001</v>
      </c>
      <c r="D9">
        <v>80.707504</v>
      </c>
    </row>
    <row r="10" spans="1:4" x14ac:dyDescent="0.25">
      <c r="A10" t="s">
        <v>216</v>
      </c>
      <c r="B10" t="s">
        <v>162</v>
      </c>
      <c r="C10">
        <v>24.300999999999998</v>
      </c>
      <c r="D10">
        <v>80.707504</v>
      </c>
    </row>
    <row r="11" spans="1:4" x14ac:dyDescent="0.25">
      <c r="A11" t="s">
        <v>216</v>
      </c>
      <c r="B11" t="s">
        <v>162</v>
      </c>
      <c r="C11">
        <v>24.713000000000001</v>
      </c>
      <c r="D11">
        <v>80.707504</v>
      </c>
    </row>
    <row r="12" spans="1:4" x14ac:dyDescent="0.25">
      <c r="A12" t="s">
        <v>218</v>
      </c>
      <c r="B12" t="s">
        <v>162</v>
      </c>
      <c r="C12" t="s">
        <v>164</v>
      </c>
      <c r="D12">
        <v>81.205070000000006</v>
      </c>
    </row>
    <row r="13" spans="1:4" x14ac:dyDescent="0.25">
      <c r="A13" t="s">
        <v>215</v>
      </c>
      <c r="B13" t="s">
        <v>162</v>
      </c>
      <c r="C13">
        <v>25.375</v>
      </c>
      <c r="D13">
        <v>80.707504</v>
      </c>
    </row>
    <row r="14" spans="1:4" x14ac:dyDescent="0.25">
      <c r="A14" t="s">
        <v>215</v>
      </c>
      <c r="B14" t="s">
        <v>162</v>
      </c>
      <c r="C14">
        <v>25.347000000000001</v>
      </c>
      <c r="D14">
        <v>80.707504</v>
      </c>
    </row>
    <row r="15" spans="1:4" x14ac:dyDescent="0.25">
      <c r="A15" t="s">
        <v>216</v>
      </c>
      <c r="B15" t="s">
        <v>162</v>
      </c>
      <c r="C15">
        <v>23.881</v>
      </c>
      <c r="D15">
        <v>80.707504</v>
      </c>
    </row>
    <row r="16" spans="1:4" x14ac:dyDescent="0.25">
      <c r="A16" t="s">
        <v>216</v>
      </c>
      <c r="B16" t="s">
        <v>162</v>
      </c>
      <c r="C16">
        <v>23.812999999999999</v>
      </c>
      <c r="D16">
        <v>80.707504</v>
      </c>
    </row>
    <row r="17" spans="1:4" x14ac:dyDescent="0.25">
      <c r="A17" t="s">
        <v>217</v>
      </c>
      <c r="B17" t="s">
        <v>162</v>
      </c>
      <c r="C17">
        <v>15.765000000000001</v>
      </c>
      <c r="D17">
        <v>80.707504</v>
      </c>
    </row>
    <row r="18" spans="1:4" x14ac:dyDescent="0.25">
      <c r="A18" t="s">
        <v>217</v>
      </c>
      <c r="B18" t="s">
        <v>162</v>
      </c>
      <c r="C18">
        <v>15.782999999999999</v>
      </c>
      <c r="D18">
        <v>80.707504</v>
      </c>
    </row>
    <row r="19" spans="1:4" x14ac:dyDescent="0.25">
      <c r="A19" t="s">
        <v>216</v>
      </c>
      <c r="B19" t="s">
        <v>162</v>
      </c>
      <c r="C19">
        <v>24.158999999999999</v>
      </c>
      <c r="D19">
        <v>80.707504</v>
      </c>
    </row>
    <row r="20" spans="1:4" x14ac:dyDescent="0.25">
      <c r="A20" t="s">
        <v>216</v>
      </c>
      <c r="B20" t="s">
        <v>162</v>
      </c>
      <c r="C20">
        <v>24.151</v>
      </c>
      <c r="D20">
        <v>80.707504</v>
      </c>
    </row>
    <row r="21" spans="1:4" x14ac:dyDescent="0.25">
      <c r="A21" t="s">
        <v>216</v>
      </c>
      <c r="B21" t="s">
        <v>162</v>
      </c>
      <c r="C21">
        <v>25.364000000000001</v>
      </c>
      <c r="D21">
        <v>80.707504</v>
      </c>
    </row>
    <row r="22" spans="1:4" x14ac:dyDescent="0.25">
      <c r="A22" t="s">
        <v>216</v>
      </c>
      <c r="B22" t="s">
        <v>162</v>
      </c>
      <c r="C22">
        <v>25.376000000000001</v>
      </c>
      <c r="D22">
        <v>80.707504</v>
      </c>
    </row>
    <row r="23" spans="1:4" x14ac:dyDescent="0.25">
      <c r="A23" t="s">
        <v>216</v>
      </c>
      <c r="B23" t="s">
        <v>162</v>
      </c>
      <c r="C23">
        <v>25.896999999999998</v>
      </c>
      <c r="D23">
        <v>80.707504</v>
      </c>
    </row>
    <row r="24" spans="1:4" x14ac:dyDescent="0.25">
      <c r="A24" t="s">
        <v>218</v>
      </c>
      <c r="B24" t="s">
        <v>162</v>
      </c>
      <c r="C24" t="s">
        <v>164</v>
      </c>
      <c r="D24">
        <v>0</v>
      </c>
    </row>
    <row r="25" spans="1:4" x14ac:dyDescent="0.25">
      <c r="A25" t="s">
        <v>215</v>
      </c>
      <c r="B25" t="s">
        <v>162</v>
      </c>
      <c r="C25">
        <v>23.672999999999998</v>
      </c>
      <c r="D25">
        <v>80.956289999999996</v>
      </c>
    </row>
    <row r="26" spans="1:4" x14ac:dyDescent="0.25">
      <c r="A26" t="s">
        <v>215</v>
      </c>
      <c r="B26" t="s">
        <v>162</v>
      </c>
      <c r="C26">
        <v>23.577999999999999</v>
      </c>
      <c r="D26">
        <v>80.707504</v>
      </c>
    </row>
    <row r="27" spans="1:4" x14ac:dyDescent="0.25">
      <c r="A27" t="s">
        <v>216</v>
      </c>
      <c r="B27" t="s">
        <v>162</v>
      </c>
      <c r="C27">
        <v>22.611999999999998</v>
      </c>
      <c r="D27">
        <v>80.707504</v>
      </c>
    </row>
    <row r="28" spans="1:4" x14ac:dyDescent="0.25">
      <c r="A28" t="s">
        <v>216</v>
      </c>
      <c r="B28" t="s">
        <v>162</v>
      </c>
      <c r="C28">
        <v>22.670999999999999</v>
      </c>
      <c r="D28">
        <v>80.707504</v>
      </c>
    </row>
    <row r="29" spans="1:4" x14ac:dyDescent="0.25">
      <c r="A29" t="s">
        <v>217</v>
      </c>
      <c r="B29" t="s">
        <v>162</v>
      </c>
      <c r="C29">
        <v>18.303000000000001</v>
      </c>
      <c r="D29">
        <v>80.707504</v>
      </c>
    </row>
    <row r="30" spans="1:4" x14ac:dyDescent="0.25">
      <c r="A30" t="s">
        <v>217</v>
      </c>
      <c r="B30" t="s">
        <v>162</v>
      </c>
      <c r="C30">
        <v>18.045999999999999</v>
      </c>
      <c r="D30">
        <v>80.707504</v>
      </c>
    </row>
    <row r="31" spans="1:4" x14ac:dyDescent="0.25">
      <c r="A31" t="s">
        <v>216</v>
      </c>
      <c r="B31" t="s">
        <v>162</v>
      </c>
      <c r="C31">
        <v>24.056000000000001</v>
      </c>
      <c r="D31">
        <v>80.707504</v>
      </c>
    </row>
    <row r="32" spans="1:4" x14ac:dyDescent="0.25">
      <c r="A32" t="s">
        <v>216</v>
      </c>
      <c r="B32" t="s">
        <v>162</v>
      </c>
      <c r="C32">
        <v>24.073</v>
      </c>
      <c r="D32">
        <v>80.707504</v>
      </c>
    </row>
    <row r="33" spans="1:4" x14ac:dyDescent="0.25">
      <c r="A33" t="s">
        <v>216</v>
      </c>
      <c r="B33" t="s">
        <v>162</v>
      </c>
      <c r="C33">
        <v>25.183</v>
      </c>
      <c r="D33">
        <v>80.707504</v>
      </c>
    </row>
    <row r="34" spans="1:4" x14ac:dyDescent="0.25">
      <c r="A34" t="s">
        <v>216</v>
      </c>
      <c r="B34" t="s">
        <v>162</v>
      </c>
      <c r="C34">
        <v>25.309000000000001</v>
      </c>
      <c r="D34">
        <v>80.707504</v>
      </c>
    </row>
    <row r="35" spans="1:4" x14ac:dyDescent="0.25">
      <c r="A35" t="s">
        <v>216</v>
      </c>
      <c r="B35" t="s">
        <v>162</v>
      </c>
      <c r="C35">
        <v>24.561</v>
      </c>
      <c r="D35">
        <v>80.707504</v>
      </c>
    </row>
    <row r="36" spans="1:4" x14ac:dyDescent="0.25">
      <c r="A36" t="s">
        <v>218</v>
      </c>
      <c r="B36" t="s">
        <v>162</v>
      </c>
      <c r="C36" t="s">
        <v>164</v>
      </c>
      <c r="D36">
        <v>0</v>
      </c>
    </row>
    <row r="37" spans="1:4" x14ac:dyDescent="0.25">
      <c r="A37" t="s">
        <v>216</v>
      </c>
      <c r="B37" t="s">
        <v>162</v>
      </c>
      <c r="C37">
        <v>25.425000000000001</v>
      </c>
      <c r="D37">
        <v>80.956289999999996</v>
      </c>
    </row>
    <row r="38" spans="1:4" x14ac:dyDescent="0.25">
      <c r="A38" t="s">
        <v>216</v>
      </c>
      <c r="B38" t="s">
        <v>162</v>
      </c>
      <c r="C38">
        <v>25.302</v>
      </c>
      <c r="D38">
        <v>80.956289999999996</v>
      </c>
    </row>
    <row r="39" spans="1:4" x14ac:dyDescent="0.25">
      <c r="A39" t="s">
        <v>216</v>
      </c>
      <c r="B39" t="s">
        <v>162</v>
      </c>
      <c r="C39">
        <v>22.402999999999999</v>
      </c>
      <c r="D39">
        <v>80.956289999999996</v>
      </c>
    </row>
    <row r="40" spans="1:4" x14ac:dyDescent="0.25">
      <c r="A40" t="s">
        <v>216</v>
      </c>
      <c r="B40" t="s">
        <v>162</v>
      </c>
      <c r="C40">
        <v>22.425000000000001</v>
      </c>
      <c r="D40">
        <v>80.956289999999996</v>
      </c>
    </row>
    <row r="41" spans="1:4" x14ac:dyDescent="0.25">
      <c r="A41" t="s">
        <v>217</v>
      </c>
      <c r="B41" t="s">
        <v>162</v>
      </c>
      <c r="C41">
        <v>20.561</v>
      </c>
      <c r="D41">
        <v>80.956289999999996</v>
      </c>
    </row>
    <row r="42" spans="1:4" x14ac:dyDescent="0.25">
      <c r="A42" t="s">
        <v>217</v>
      </c>
      <c r="B42" t="s">
        <v>162</v>
      </c>
      <c r="C42">
        <v>20.492000000000001</v>
      </c>
      <c r="D42">
        <v>80.956289999999996</v>
      </c>
    </row>
    <row r="43" spans="1:4" x14ac:dyDescent="0.25">
      <c r="A43" t="s">
        <v>216</v>
      </c>
      <c r="B43" t="s">
        <v>162</v>
      </c>
      <c r="C43">
        <v>21.234000000000002</v>
      </c>
      <c r="D43">
        <v>80.956289999999996</v>
      </c>
    </row>
    <row r="44" spans="1:4" x14ac:dyDescent="0.25">
      <c r="A44" t="s">
        <v>216</v>
      </c>
      <c r="B44" t="s">
        <v>162</v>
      </c>
      <c r="C44">
        <v>21.506</v>
      </c>
      <c r="D44">
        <v>80.956289999999996</v>
      </c>
    </row>
    <row r="45" spans="1:4" x14ac:dyDescent="0.25">
      <c r="A45" t="s">
        <v>216</v>
      </c>
      <c r="B45" t="s">
        <v>162</v>
      </c>
      <c r="C45">
        <v>26.407</v>
      </c>
      <c r="D45">
        <v>80.956289999999996</v>
      </c>
    </row>
    <row r="46" spans="1:4" x14ac:dyDescent="0.25">
      <c r="A46" t="s">
        <v>216</v>
      </c>
      <c r="B46" t="s">
        <v>162</v>
      </c>
      <c r="C46">
        <v>26.423999999999999</v>
      </c>
      <c r="D46">
        <v>80.956289999999996</v>
      </c>
    </row>
    <row r="47" spans="1:4" x14ac:dyDescent="0.25">
      <c r="A47" t="s">
        <v>216</v>
      </c>
      <c r="B47" t="s">
        <v>162</v>
      </c>
      <c r="C47">
        <v>24.638999999999999</v>
      </c>
      <c r="D47">
        <v>80.956289999999996</v>
      </c>
    </row>
    <row r="48" spans="1:4" x14ac:dyDescent="0.25">
      <c r="A48" t="s">
        <v>218</v>
      </c>
      <c r="B48" t="s">
        <v>162</v>
      </c>
      <c r="C48" t="s">
        <v>164</v>
      </c>
      <c r="D48">
        <v>0</v>
      </c>
    </row>
    <row r="49" spans="1:4" x14ac:dyDescent="0.25">
      <c r="A49" t="s">
        <v>216</v>
      </c>
      <c r="B49" t="s">
        <v>162</v>
      </c>
      <c r="C49">
        <v>25.300999999999998</v>
      </c>
      <c r="D49">
        <v>80.956289999999996</v>
      </c>
    </row>
    <row r="50" spans="1:4" x14ac:dyDescent="0.25">
      <c r="A50" t="s">
        <v>216</v>
      </c>
      <c r="B50" t="s">
        <v>162</v>
      </c>
      <c r="C50">
        <v>25.215</v>
      </c>
      <c r="D50">
        <v>80.956289999999996</v>
      </c>
    </row>
    <row r="51" spans="1:4" x14ac:dyDescent="0.25">
      <c r="A51" t="s">
        <v>216</v>
      </c>
      <c r="B51" t="s">
        <v>162</v>
      </c>
      <c r="C51">
        <v>22.084</v>
      </c>
      <c r="D51">
        <v>80.956289999999996</v>
      </c>
    </row>
    <row r="52" spans="1:4" x14ac:dyDescent="0.25">
      <c r="A52" t="s">
        <v>216</v>
      </c>
      <c r="B52" t="s">
        <v>162</v>
      </c>
      <c r="C52">
        <v>22.074000000000002</v>
      </c>
      <c r="D52">
        <v>80.956289999999996</v>
      </c>
    </row>
    <row r="53" spans="1:4" x14ac:dyDescent="0.25">
      <c r="A53" t="s">
        <v>217</v>
      </c>
      <c r="B53" t="s">
        <v>162</v>
      </c>
      <c r="C53">
        <v>22.86</v>
      </c>
      <c r="D53">
        <v>80.956289999999996</v>
      </c>
    </row>
    <row r="54" spans="1:4" x14ac:dyDescent="0.25">
      <c r="A54" t="s">
        <v>217</v>
      </c>
      <c r="B54" t="s">
        <v>162</v>
      </c>
      <c r="C54">
        <v>22.721</v>
      </c>
      <c r="D54">
        <v>80.956289999999996</v>
      </c>
    </row>
    <row r="55" spans="1:4" x14ac:dyDescent="0.25">
      <c r="A55" t="s">
        <v>216</v>
      </c>
      <c r="B55" t="s">
        <v>162</v>
      </c>
      <c r="C55">
        <v>21.588000000000001</v>
      </c>
      <c r="D55">
        <v>80.956289999999996</v>
      </c>
    </row>
    <row r="56" spans="1:4" x14ac:dyDescent="0.25">
      <c r="A56" t="s">
        <v>216</v>
      </c>
      <c r="B56" t="s">
        <v>162</v>
      </c>
      <c r="C56">
        <v>21.544</v>
      </c>
      <c r="D56">
        <v>80.956289999999996</v>
      </c>
    </row>
    <row r="57" spans="1:4" x14ac:dyDescent="0.25">
      <c r="A57" t="s">
        <v>216</v>
      </c>
      <c r="B57" t="s">
        <v>162</v>
      </c>
      <c r="C57">
        <v>22.966000000000001</v>
      </c>
      <c r="D57">
        <v>80.956289999999996</v>
      </c>
    </row>
    <row r="58" spans="1:4" x14ac:dyDescent="0.25">
      <c r="A58" t="s">
        <v>216</v>
      </c>
      <c r="B58" t="s">
        <v>162</v>
      </c>
      <c r="C58">
        <v>23.08</v>
      </c>
      <c r="D58">
        <v>80.956289999999996</v>
      </c>
    </row>
    <row r="59" spans="1:4" x14ac:dyDescent="0.25">
      <c r="A59" t="s">
        <v>215</v>
      </c>
      <c r="B59" t="s">
        <v>162</v>
      </c>
      <c r="C59">
        <v>21.302</v>
      </c>
      <c r="D59">
        <v>80.956289999999996</v>
      </c>
    </row>
    <row r="60" spans="1:4" x14ac:dyDescent="0.25">
      <c r="A60" t="s">
        <v>218</v>
      </c>
      <c r="B60" t="s">
        <v>162</v>
      </c>
      <c r="C60" t="s">
        <v>164</v>
      </c>
      <c r="D60">
        <v>0</v>
      </c>
    </row>
    <row r="61" spans="1:4" x14ac:dyDescent="0.25">
      <c r="A61" t="s">
        <v>216</v>
      </c>
      <c r="B61" t="s">
        <v>162</v>
      </c>
      <c r="C61">
        <v>24.081</v>
      </c>
      <c r="D61">
        <v>80.956289999999996</v>
      </c>
    </row>
    <row r="62" spans="1:4" x14ac:dyDescent="0.25">
      <c r="A62" t="s">
        <v>216</v>
      </c>
      <c r="B62" t="s">
        <v>162</v>
      </c>
      <c r="C62">
        <v>24.183</v>
      </c>
      <c r="D62">
        <v>80.956289999999996</v>
      </c>
    </row>
    <row r="63" spans="1:4" x14ac:dyDescent="0.25">
      <c r="A63" t="s">
        <v>216</v>
      </c>
      <c r="B63" t="s">
        <v>162</v>
      </c>
      <c r="C63">
        <v>21.696000000000002</v>
      </c>
      <c r="D63">
        <v>80.956289999999996</v>
      </c>
    </row>
    <row r="64" spans="1:4" x14ac:dyDescent="0.25">
      <c r="A64" t="s">
        <v>216</v>
      </c>
      <c r="B64" t="s">
        <v>162</v>
      </c>
      <c r="C64">
        <v>21.667999999999999</v>
      </c>
      <c r="D64">
        <v>80.956289999999996</v>
      </c>
    </row>
    <row r="65" spans="1:4" x14ac:dyDescent="0.25">
      <c r="A65" t="s">
        <v>217</v>
      </c>
      <c r="B65" t="s">
        <v>162</v>
      </c>
      <c r="C65">
        <v>25.276</v>
      </c>
      <c r="D65">
        <v>80.956289999999996</v>
      </c>
    </row>
    <row r="66" spans="1:4" x14ac:dyDescent="0.25">
      <c r="A66" t="s">
        <v>217</v>
      </c>
      <c r="B66" t="s">
        <v>162</v>
      </c>
      <c r="C66">
        <v>25.273</v>
      </c>
      <c r="D66">
        <v>80.956289999999996</v>
      </c>
    </row>
    <row r="67" spans="1:4" x14ac:dyDescent="0.25">
      <c r="A67" t="s">
        <v>216</v>
      </c>
      <c r="B67" t="s">
        <v>162</v>
      </c>
      <c r="C67">
        <v>24.946999999999999</v>
      </c>
      <c r="D67">
        <v>80.956289999999996</v>
      </c>
    </row>
    <row r="68" spans="1:4" x14ac:dyDescent="0.25">
      <c r="A68" t="s">
        <v>216</v>
      </c>
      <c r="B68" t="s">
        <v>162</v>
      </c>
      <c r="C68">
        <v>24.759</v>
      </c>
      <c r="D68">
        <v>80.707504</v>
      </c>
    </row>
    <row r="69" spans="1:4" x14ac:dyDescent="0.25">
      <c r="A69" t="s">
        <v>216</v>
      </c>
      <c r="B69" t="s">
        <v>162</v>
      </c>
      <c r="C69">
        <v>23.712</v>
      </c>
      <c r="D69">
        <v>80.707504</v>
      </c>
    </row>
    <row r="70" spans="1:4" x14ac:dyDescent="0.25">
      <c r="A70" t="s">
        <v>216</v>
      </c>
      <c r="B70" t="s">
        <v>162</v>
      </c>
      <c r="C70">
        <v>23.63</v>
      </c>
      <c r="D70">
        <v>80.707504</v>
      </c>
    </row>
    <row r="71" spans="1:4" x14ac:dyDescent="0.25">
      <c r="A71" t="s">
        <v>215</v>
      </c>
      <c r="B71" t="s">
        <v>162</v>
      </c>
      <c r="C71">
        <v>21.302</v>
      </c>
      <c r="D71">
        <v>80.707504</v>
      </c>
    </row>
    <row r="72" spans="1:4" x14ac:dyDescent="0.25">
      <c r="A72" t="s">
        <v>218</v>
      </c>
      <c r="B72" t="s">
        <v>162</v>
      </c>
      <c r="C72" t="s">
        <v>164</v>
      </c>
      <c r="D72">
        <v>60.307499999999997</v>
      </c>
    </row>
    <row r="73" spans="1:4" x14ac:dyDescent="0.25">
      <c r="A73" t="s">
        <v>216</v>
      </c>
      <c r="B73" t="s">
        <v>162</v>
      </c>
      <c r="C73">
        <v>24.173999999999999</v>
      </c>
      <c r="D73">
        <v>80.956289999999996</v>
      </c>
    </row>
    <row r="74" spans="1:4" x14ac:dyDescent="0.25">
      <c r="A74" t="s">
        <v>216</v>
      </c>
      <c r="B74" t="s">
        <v>162</v>
      </c>
      <c r="C74">
        <v>24.056000000000001</v>
      </c>
      <c r="D74">
        <v>80.956289999999996</v>
      </c>
    </row>
    <row r="75" spans="1:4" x14ac:dyDescent="0.25">
      <c r="A75" t="s">
        <v>216</v>
      </c>
      <c r="B75" t="s">
        <v>162</v>
      </c>
      <c r="C75">
        <v>22.603999999999999</v>
      </c>
      <c r="D75">
        <v>80.956289999999996</v>
      </c>
    </row>
    <row r="76" spans="1:4" x14ac:dyDescent="0.25">
      <c r="A76" t="s">
        <v>216</v>
      </c>
      <c r="B76" t="s">
        <v>162</v>
      </c>
      <c r="C76">
        <v>22.808</v>
      </c>
      <c r="D76">
        <v>80.956289999999996</v>
      </c>
    </row>
    <row r="77" spans="1:4" x14ac:dyDescent="0.25">
      <c r="A77" t="s">
        <v>217</v>
      </c>
      <c r="B77" t="s">
        <v>162</v>
      </c>
      <c r="C77">
        <v>27.526</v>
      </c>
      <c r="D77">
        <v>80.956289999999996</v>
      </c>
    </row>
    <row r="78" spans="1:4" x14ac:dyDescent="0.25">
      <c r="A78" t="s">
        <v>217</v>
      </c>
      <c r="B78" t="s">
        <v>162</v>
      </c>
      <c r="C78">
        <v>27.597999999999999</v>
      </c>
      <c r="D78">
        <v>80.956289999999996</v>
      </c>
    </row>
    <row r="79" spans="1:4" x14ac:dyDescent="0.25">
      <c r="A79" t="s">
        <v>216</v>
      </c>
      <c r="B79" t="s">
        <v>162</v>
      </c>
      <c r="C79">
        <v>24.741</v>
      </c>
      <c r="D79">
        <v>80.956289999999996</v>
      </c>
    </row>
    <row r="80" spans="1:4" x14ac:dyDescent="0.25">
      <c r="A80" t="s">
        <v>216</v>
      </c>
      <c r="B80" t="s">
        <v>162</v>
      </c>
      <c r="C80">
        <v>24.475000000000001</v>
      </c>
      <c r="D80">
        <v>80.956289999999996</v>
      </c>
    </row>
    <row r="81" spans="1:4" x14ac:dyDescent="0.25">
      <c r="A81" t="s">
        <v>216</v>
      </c>
      <c r="B81" t="s">
        <v>162</v>
      </c>
      <c r="C81">
        <v>25.7</v>
      </c>
      <c r="D81">
        <v>80.707504</v>
      </c>
    </row>
    <row r="82" spans="1:4" x14ac:dyDescent="0.25">
      <c r="A82" t="s">
        <v>216</v>
      </c>
      <c r="B82" t="s">
        <v>162</v>
      </c>
      <c r="C82">
        <v>25.637</v>
      </c>
      <c r="D82">
        <v>80.707504</v>
      </c>
    </row>
    <row r="83" spans="1:4" x14ac:dyDescent="0.25">
      <c r="A83" t="s">
        <v>215</v>
      </c>
      <c r="B83" t="s">
        <v>162</v>
      </c>
      <c r="C83">
        <v>21.471</v>
      </c>
      <c r="D83">
        <v>80.707504</v>
      </c>
    </row>
    <row r="84" spans="1:4" x14ac:dyDescent="0.25">
      <c r="A84" t="s">
        <v>218</v>
      </c>
      <c r="B84" t="s">
        <v>162</v>
      </c>
      <c r="C84" t="s">
        <v>164</v>
      </c>
      <c r="D84">
        <v>0</v>
      </c>
    </row>
    <row r="85" spans="1:4" x14ac:dyDescent="0.25">
      <c r="A85" t="s">
        <v>216</v>
      </c>
      <c r="B85" t="s">
        <v>162</v>
      </c>
      <c r="C85">
        <v>23.667000000000002</v>
      </c>
      <c r="D85">
        <v>80.956289999999996</v>
      </c>
    </row>
    <row r="86" spans="1:4" x14ac:dyDescent="0.25">
      <c r="A86" t="s">
        <v>216</v>
      </c>
      <c r="B86" t="s">
        <v>162</v>
      </c>
      <c r="C86">
        <v>23.574999999999999</v>
      </c>
      <c r="D86">
        <v>80.956289999999996</v>
      </c>
    </row>
    <row r="87" spans="1:4" x14ac:dyDescent="0.25">
      <c r="A87" t="s">
        <v>216</v>
      </c>
      <c r="B87" t="s">
        <v>162</v>
      </c>
      <c r="C87">
        <v>22.216000000000001</v>
      </c>
      <c r="D87">
        <v>80.956289999999996</v>
      </c>
    </row>
    <row r="88" spans="1:4" x14ac:dyDescent="0.25">
      <c r="A88" t="s">
        <v>216</v>
      </c>
      <c r="B88" t="s">
        <v>162</v>
      </c>
      <c r="C88">
        <v>22.263000000000002</v>
      </c>
      <c r="D88">
        <v>80.956289999999996</v>
      </c>
    </row>
    <row r="89" spans="1:4" x14ac:dyDescent="0.25">
      <c r="A89" t="s">
        <v>217</v>
      </c>
      <c r="B89" t="s">
        <v>162</v>
      </c>
      <c r="C89">
        <v>32.929000000000002</v>
      </c>
      <c r="D89">
        <v>80.956289999999996</v>
      </c>
    </row>
    <row r="90" spans="1:4" x14ac:dyDescent="0.25">
      <c r="A90" t="s">
        <v>217</v>
      </c>
      <c r="B90" t="s">
        <v>162</v>
      </c>
      <c r="C90">
        <v>32.817</v>
      </c>
      <c r="D90">
        <v>80.956289999999996</v>
      </c>
    </row>
    <row r="91" spans="1:4" x14ac:dyDescent="0.25">
      <c r="A91" t="s">
        <v>216</v>
      </c>
      <c r="B91" t="s">
        <v>162</v>
      </c>
      <c r="C91">
        <v>24.882000000000001</v>
      </c>
      <c r="D91">
        <v>80.956289999999996</v>
      </c>
    </row>
    <row r="92" spans="1:4" x14ac:dyDescent="0.25">
      <c r="A92" t="s">
        <v>216</v>
      </c>
      <c r="B92" t="s">
        <v>162</v>
      </c>
      <c r="C92">
        <v>24.937999999999999</v>
      </c>
      <c r="D92">
        <v>80.956289999999996</v>
      </c>
    </row>
    <row r="93" spans="1:4" x14ac:dyDescent="0.25">
      <c r="A93" t="s">
        <v>216</v>
      </c>
      <c r="B93" t="s">
        <v>162</v>
      </c>
      <c r="C93">
        <v>24.41</v>
      </c>
      <c r="D93">
        <v>80.707504</v>
      </c>
    </row>
    <row r="94" spans="1:4" x14ac:dyDescent="0.25">
      <c r="A94" t="s">
        <v>216</v>
      </c>
      <c r="B94" t="s">
        <v>162</v>
      </c>
      <c r="C94">
        <v>24.393000000000001</v>
      </c>
      <c r="D94">
        <v>80.707504</v>
      </c>
    </row>
    <row r="95" spans="1:4" x14ac:dyDescent="0.25">
      <c r="A95" t="s">
        <v>215</v>
      </c>
      <c r="B95" t="s">
        <v>162</v>
      </c>
      <c r="C95">
        <v>21.584</v>
      </c>
      <c r="D95">
        <v>80.707504</v>
      </c>
    </row>
    <row r="96" spans="1:4" x14ac:dyDescent="0.25">
      <c r="A96" t="s">
        <v>218</v>
      </c>
      <c r="B96" t="s">
        <v>162</v>
      </c>
      <c r="C96" t="s">
        <v>164</v>
      </c>
      <c r="D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e104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Smith</dc:creator>
  <cp:lastModifiedBy>Jeff Smith</cp:lastModifiedBy>
  <dcterms:created xsi:type="dcterms:W3CDTF">2023-04-14T08:00:29Z</dcterms:created>
  <dcterms:modified xsi:type="dcterms:W3CDTF">2025-12-17T03:34:59Z</dcterms:modified>
</cp:coreProperties>
</file>