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smith_j_wehi_edu_au/Documents/Documents/Testing-Git/proxipal/app/data/251110_iPLA_NfLplasma_demo2/251112/"/>
    </mc:Choice>
  </mc:AlternateContent>
  <xr:revisionPtr revIDLastSave="65" documentId="8_{8D760B02-C8A6-4A66-AB35-0E8736E80B10}" xr6:coauthVersionLast="47" xr6:coauthVersionMax="47" xr10:uidLastSave="{64CF107E-AE83-491F-8859-E34076377AFE}"/>
  <bookViews>
    <workbookView xWindow="-120" yWindow="-120" windowWidth="38640" windowHeight="21120" xr2:uid="{4D99390B-9292-4C1E-BC74-DE0E0B893356}"/>
  </bookViews>
  <sheets>
    <sheet name="ex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5" i="1" l="1"/>
  <c r="I101" i="1" l="1" a="1"/>
  <c r="I101" i="1" s="1"/>
  <c r="H101" i="1" a="1"/>
  <c r="H101" i="1" s="1"/>
  <c r="I100" i="1" a="1"/>
  <c r="I100" i="1" s="1"/>
  <c r="H100" i="1" a="1"/>
  <c r="H100" i="1" s="1"/>
  <c r="I99" i="1" a="1"/>
  <c r="I99" i="1" s="1"/>
  <c r="H99" i="1" a="1"/>
  <c r="H99" i="1" s="1"/>
  <c r="I98" i="1" a="1"/>
  <c r="I98" i="1" s="1"/>
  <c r="H98" i="1" a="1"/>
  <c r="H98" i="1" s="1"/>
  <c r="I97" i="1" a="1"/>
  <c r="I97" i="1" s="1"/>
  <c r="H97" i="1" a="1"/>
  <c r="H97" i="1" s="1"/>
  <c r="I96" i="1" a="1"/>
  <c r="I96" i="1" s="1"/>
  <c r="H96" i="1" a="1"/>
  <c r="H96" i="1" s="1"/>
  <c r="I95" i="1" a="1"/>
  <c r="I95" i="1" s="1"/>
  <c r="H95" i="1" a="1"/>
  <c r="H95" i="1" s="1"/>
  <c r="I94" i="1" a="1"/>
  <c r="I94" i="1" s="1"/>
  <c r="H94" i="1" a="1"/>
  <c r="H94" i="1" s="1"/>
  <c r="I93" i="1" a="1"/>
  <c r="I93" i="1" s="1"/>
  <c r="H93" i="1" a="1"/>
  <c r="H93" i="1" s="1"/>
  <c r="I92" i="1" a="1"/>
  <c r="I92" i="1" s="1"/>
  <c r="H92" i="1" a="1"/>
  <c r="H92" i="1" s="1"/>
  <c r="I91" i="1" a="1"/>
  <c r="I91" i="1" s="1"/>
  <c r="H91" i="1" a="1"/>
  <c r="H91" i="1" s="1"/>
  <c r="I90" i="1" a="1"/>
  <c r="I90" i="1" s="1"/>
  <c r="H90" i="1" a="1"/>
  <c r="H90" i="1" s="1"/>
  <c r="I89" i="1" a="1"/>
  <c r="I89" i="1" s="1"/>
  <c r="H89" i="1" a="1"/>
  <c r="H89" i="1" s="1"/>
  <c r="I88" i="1" a="1"/>
  <c r="I88" i="1" s="1"/>
  <c r="H88" i="1" a="1"/>
  <c r="H88" i="1" s="1"/>
  <c r="I87" i="1" a="1"/>
  <c r="I87" i="1" s="1"/>
  <c r="H87" i="1" a="1"/>
  <c r="H87" i="1" s="1"/>
  <c r="I86" i="1" a="1"/>
  <c r="I86" i="1" s="1"/>
  <c r="H86" i="1" a="1"/>
  <c r="H86" i="1" s="1"/>
  <c r="I85" i="1" a="1"/>
  <c r="I85" i="1" s="1"/>
  <c r="H85" i="1" a="1"/>
  <c r="H85" i="1" s="1"/>
  <c r="I84" i="1" a="1"/>
  <c r="I84" i="1" s="1"/>
  <c r="H84" i="1" a="1"/>
  <c r="H84" i="1" s="1"/>
  <c r="I83" i="1" a="1"/>
  <c r="I83" i="1" s="1"/>
  <c r="H83" i="1" a="1"/>
  <c r="H83" i="1" s="1"/>
  <c r="I82" i="1" a="1"/>
  <c r="I82" i="1" s="1"/>
  <c r="H82" i="1" a="1"/>
  <c r="H82" i="1" s="1"/>
  <c r="I81" i="1" a="1"/>
  <c r="I81" i="1" s="1"/>
  <c r="H81" i="1" a="1"/>
  <c r="H81" i="1" s="1"/>
  <c r="I80" i="1" a="1"/>
  <c r="I80" i="1" s="1"/>
  <c r="H80" i="1" a="1"/>
  <c r="H80" i="1" s="1"/>
  <c r="I79" i="1" a="1"/>
  <c r="I79" i="1" s="1"/>
  <c r="H79" i="1" a="1"/>
  <c r="H79" i="1" s="1"/>
  <c r="I78" i="1" a="1"/>
  <c r="I78" i="1" s="1"/>
  <c r="H78" i="1" a="1"/>
  <c r="H78" i="1" s="1"/>
  <c r="I77" i="1" a="1"/>
  <c r="I77" i="1" s="1"/>
  <c r="H77" i="1" a="1"/>
  <c r="H77" i="1" s="1"/>
  <c r="I76" i="1" a="1"/>
  <c r="I76" i="1" s="1"/>
  <c r="H76" i="1" a="1"/>
  <c r="H76" i="1" s="1"/>
  <c r="I75" i="1" a="1"/>
  <c r="I75" i="1" s="1"/>
  <c r="H75" i="1" a="1"/>
  <c r="H75" i="1" s="1"/>
  <c r="I74" i="1" a="1"/>
  <c r="I74" i="1" s="1"/>
  <c r="H74" i="1" a="1"/>
  <c r="H74" i="1" s="1"/>
  <c r="I73" i="1" a="1"/>
  <c r="I73" i="1" s="1"/>
  <c r="H73" i="1" a="1"/>
  <c r="H73" i="1" s="1"/>
  <c r="I72" i="1" a="1"/>
  <c r="I72" i="1" s="1"/>
  <c r="H72" i="1" a="1"/>
  <c r="H72" i="1" s="1"/>
  <c r="I71" i="1" a="1"/>
  <c r="I71" i="1" s="1"/>
  <c r="H71" i="1" a="1"/>
  <c r="H71" i="1" s="1"/>
  <c r="I70" i="1" a="1"/>
  <c r="I70" i="1" s="1"/>
  <c r="H70" i="1" a="1"/>
  <c r="H70" i="1" s="1"/>
  <c r="I69" i="1" a="1"/>
  <c r="I69" i="1" s="1"/>
  <c r="H69" i="1" a="1"/>
  <c r="H69" i="1" s="1"/>
  <c r="I68" i="1" a="1"/>
  <c r="I68" i="1" s="1"/>
  <c r="H68" i="1" a="1"/>
  <c r="H68" i="1" s="1"/>
  <c r="I67" i="1" a="1"/>
  <c r="I67" i="1" s="1"/>
  <c r="H67" i="1" a="1"/>
  <c r="H67" i="1" s="1"/>
  <c r="I66" i="1" a="1"/>
  <c r="I66" i="1" s="1"/>
  <c r="H66" i="1" a="1"/>
  <c r="H66" i="1" s="1"/>
  <c r="I65" i="1" a="1"/>
  <c r="I65" i="1" s="1"/>
  <c r="H65" i="1" a="1"/>
  <c r="H65" i="1" s="1"/>
  <c r="I64" i="1" a="1"/>
  <c r="I64" i="1" s="1"/>
  <c r="H64" i="1" a="1"/>
  <c r="H64" i="1" s="1"/>
  <c r="I63" i="1" a="1"/>
  <c r="I63" i="1" s="1"/>
  <c r="H63" i="1" a="1"/>
  <c r="H63" i="1" s="1"/>
  <c r="I62" i="1" a="1"/>
  <c r="I62" i="1" s="1"/>
  <c r="H62" i="1" a="1"/>
  <c r="H62" i="1" s="1"/>
  <c r="I61" i="1" a="1"/>
  <c r="I61" i="1" s="1"/>
  <c r="H61" i="1" a="1"/>
  <c r="H61" i="1" s="1"/>
  <c r="I60" i="1" a="1"/>
  <c r="I60" i="1" s="1"/>
  <c r="H60" i="1" a="1"/>
  <c r="H60" i="1" s="1"/>
  <c r="I59" i="1" a="1"/>
  <c r="I59" i="1" s="1"/>
  <c r="H59" i="1" a="1"/>
  <c r="H59" i="1" s="1"/>
  <c r="I58" i="1" a="1"/>
  <c r="I58" i="1" s="1"/>
  <c r="H58" i="1" a="1"/>
  <c r="H58" i="1" s="1"/>
  <c r="I57" i="1" a="1"/>
  <c r="I57" i="1" s="1"/>
  <c r="H57" i="1" a="1"/>
  <c r="H57" i="1" s="1"/>
  <c r="I56" i="1" a="1"/>
  <c r="I56" i="1" s="1"/>
  <c r="H56" i="1" a="1"/>
  <c r="H56" i="1" s="1"/>
  <c r="I55" i="1" a="1"/>
  <c r="I55" i="1" s="1"/>
  <c r="H55" i="1" a="1"/>
  <c r="H55" i="1" s="1"/>
  <c r="I54" i="1" a="1"/>
  <c r="I54" i="1" s="1"/>
  <c r="H54" i="1" a="1"/>
  <c r="H54" i="1" s="1"/>
  <c r="I53" i="1" a="1"/>
  <c r="I53" i="1" s="1"/>
  <c r="H53" i="1" a="1"/>
  <c r="H53" i="1" s="1"/>
  <c r="I52" i="1" a="1"/>
  <c r="I52" i="1" s="1"/>
  <c r="H52" i="1" a="1"/>
  <c r="H52" i="1" s="1"/>
  <c r="I51" i="1" a="1"/>
  <c r="I51" i="1" s="1"/>
  <c r="H51" i="1" a="1"/>
  <c r="H51" i="1" s="1"/>
  <c r="I50" i="1" a="1"/>
  <c r="I50" i="1" s="1"/>
  <c r="H50" i="1" a="1"/>
  <c r="H50" i="1" s="1"/>
  <c r="I49" i="1" a="1"/>
  <c r="I49" i="1" s="1"/>
  <c r="H49" i="1" a="1"/>
  <c r="H49" i="1" s="1"/>
  <c r="I48" i="1" a="1"/>
  <c r="I48" i="1" s="1"/>
  <c r="H48" i="1" a="1"/>
  <c r="H48" i="1" s="1"/>
  <c r="I47" i="1" a="1"/>
  <c r="I47" i="1" s="1"/>
  <c r="H47" i="1" a="1"/>
  <c r="H47" i="1" s="1"/>
  <c r="I46" i="1" a="1"/>
  <c r="I46" i="1" s="1"/>
  <c r="H46" i="1" a="1"/>
  <c r="H46" i="1" s="1"/>
  <c r="I45" i="1" a="1"/>
  <c r="I45" i="1" s="1"/>
  <c r="H45" i="1" a="1"/>
  <c r="H45" i="1" s="1"/>
  <c r="I44" i="1" a="1"/>
  <c r="I44" i="1" s="1"/>
  <c r="H44" i="1" a="1"/>
  <c r="H44" i="1" s="1"/>
  <c r="I43" i="1" a="1"/>
  <c r="I43" i="1" s="1"/>
  <c r="H43" i="1" a="1"/>
  <c r="H43" i="1" s="1"/>
  <c r="I42" i="1" a="1"/>
  <c r="I42" i="1" s="1"/>
  <c r="H42" i="1" a="1"/>
  <c r="H42" i="1" s="1"/>
  <c r="I41" i="1" a="1"/>
  <c r="I41" i="1" s="1"/>
  <c r="H41" i="1" a="1"/>
  <c r="H41" i="1" s="1"/>
  <c r="I40" i="1" a="1"/>
  <c r="I40" i="1" s="1"/>
  <c r="H40" i="1" a="1"/>
  <c r="H40" i="1" s="1"/>
  <c r="I39" i="1" a="1"/>
  <c r="I39" i="1" s="1"/>
  <c r="H39" i="1" a="1"/>
  <c r="H39" i="1" s="1"/>
  <c r="I38" i="1" a="1"/>
  <c r="I38" i="1" s="1"/>
  <c r="H38" i="1" a="1"/>
  <c r="H38" i="1" s="1"/>
  <c r="I37" i="1" a="1"/>
  <c r="I37" i="1" s="1"/>
  <c r="H37" i="1" a="1"/>
  <c r="H37" i="1" s="1"/>
  <c r="I36" i="1" a="1"/>
  <c r="I36" i="1" s="1"/>
  <c r="H36" i="1" a="1"/>
  <c r="H36" i="1" s="1"/>
  <c r="I35" i="1" a="1"/>
  <c r="I35" i="1" s="1"/>
  <c r="H35" i="1" a="1"/>
  <c r="H35" i="1" s="1"/>
  <c r="I34" i="1" a="1"/>
  <c r="I34" i="1" s="1"/>
  <c r="H34" i="1" a="1"/>
  <c r="H34" i="1" s="1"/>
  <c r="I33" i="1" a="1"/>
  <c r="I33" i="1" s="1"/>
  <c r="H33" i="1" a="1"/>
  <c r="H33" i="1" s="1"/>
  <c r="I32" i="1" a="1"/>
  <c r="I32" i="1" s="1"/>
  <c r="H32" i="1" a="1"/>
  <c r="H32" i="1" s="1"/>
  <c r="I31" i="1" a="1"/>
  <c r="I31" i="1" s="1"/>
  <c r="H31" i="1" a="1"/>
  <c r="H31" i="1" s="1"/>
  <c r="I30" i="1" a="1"/>
  <c r="I30" i="1" s="1"/>
  <c r="H30" i="1" a="1"/>
  <c r="H30" i="1" s="1"/>
  <c r="I29" i="1" a="1"/>
  <c r="I29" i="1" s="1"/>
  <c r="H29" i="1" a="1"/>
  <c r="H29" i="1" s="1"/>
  <c r="I28" i="1" a="1"/>
  <c r="I28" i="1" s="1"/>
  <c r="H28" i="1" a="1"/>
  <c r="H28" i="1" s="1"/>
  <c r="I27" i="1" a="1"/>
  <c r="I27" i="1" s="1"/>
  <c r="H27" i="1" a="1"/>
  <c r="H27" i="1" s="1"/>
  <c r="I26" i="1" a="1"/>
  <c r="I26" i="1" s="1"/>
  <c r="H26" i="1" a="1"/>
  <c r="H26" i="1" s="1"/>
  <c r="I25" i="1" a="1"/>
  <c r="I25" i="1" s="1"/>
  <c r="H25" i="1" a="1"/>
  <c r="H25" i="1" s="1"/>
  <c r="I24" i="1" a="1"/>
  <c r="I24" i="1" s="1"/>
  <c r="H24" i="1" a="1"/>
  <c r="H24" i="1" s="1"/>
  <c r="I23" i="1" a="1"/>
  <c r="I23" i="1" s="1"/>
  <c r="H23" i="1" a="1"/>
  <c r="H23" i="1" s="1"/>
  <c r="I22" i="1" a="1"/>
  <c r="I22" i="1" s="1"/>
  <c r="H22" i="1" a="1"/>
  <c r="H22" i="1" s="1"/>
  <c r="I21" i="1" a="1"/>
  <c r="I21" i="1" s="1"/>
  <c r="H21" i="1" a="1"/>
  <c r="H21" i="1" s="1"/>
  <c r="I20" i="1" a="1"/>
  <c r="I20" i="1" s="1"/>
  <c r="H20" i="1" a="1"/>
  <c r="H20" i="1" s="1"/>
  <c r="I19" i="1" a="1"/>
  <c r="I19" i="1" s="1"/>
  <c r="H19" i="1" a="1"/>
  <c r="H19" i="1" s="1"/>
  <c r="I18" i="1" a="1"/>
  <c r="I18" i="1" s="1"/>
  <c r="H18" i="1" a="1"/>
  <c r="H18" i="1" s="1"/>
  <c r="I17" i="1" a="1"/>
  <c r="I17" i="1" s="1"/>
  <c r="H17" i="1" a="1"/>
  <c r="H17" i="1" s="1"/>
  <c r="I16" i="1" a="1"/>
  <c r="I16" i="1" s="1"/>
  <c r="H16" i="1" a="1"/>
  <c r="H16" i="1" s="1"/>
  <c r="I15" i="1" a="1"/>
  <c r="I15" i="1" s="1"/>
  <c r="H15" i="1" a="1"/>
  <c r="H15" i="1" s="1"/>
  <c r="I14" i="1" a="1"/>
  <c r="I14" i="1" s="1"/>
  <c r="H14" i="1" a="1"/>
  <c r="H14" i="1" s="1"/>
  <c r="I13" i="1" a="1"/>
  <c r="I13" i="1" s="1"/>
  <c r="H13" i="1" a="1"/>
  <c r="H13" i="1" s="1"/>
  <c r="I12" i="1" a="1"/>
  <c r="I12" i="1" s="1"/>
  <c r="H12" i="1" a="1"/>
  <c r="H12" i="1" s="1"/>
  <c r="I11" i="1" a="1"/>
  <c r="I11" i="1" s="1"/>
  <c r="H11" i="1" a="1"/>
  <c r="H11" i="1" s="1"/>
  <c r="I10" i="1" a="1"/>
  <c r="I10" i="1" s="1"/>
  <c r="H10" i="1" a="1"/>
  <c r="H10" i="1" s="1"/>
  <c r="I9" i="1" a="1"/>
  <c r="I9" i="1" s="1"/>
  <c r="H9" i="1" a="1"/>
  <c r="H9" i="1" s="1"/>
  <c r="I8" i="1" a="1"/>
  <c r="I8" i="1" s="1"/>
  <c r="H8" i="1" a="1"/>
  <c r="H8" i="1" s="1"/>
  <c r="I7" i="1" a="1"/>
  <c r="I7" i="1" s="1"/>
  <c r="H7" i="1" a="1"/>
  <c r="H7" i="1" s="1"/>
  <c r="I6" i="1" a="1"/>
  <c r="I6" i="1" s="1"/>
  <c r="H6" i="1" a="1"/>
  <c r="H6" i="1" s="1"/>
  <c r="X63" i="1" l="1"/>
  <c r="AC61" i="1"/>
  <c r="AB61" i="1"/>
  <c r="AI68" i="1"/>
  <c r="AH68" i="1"/>
  <c r="AG68" i="1"/>
  <c r="AF68" i="1"/>
  <c r="AE68" i="1"/>
  <c r="AD68" i="1"/>
  <c r="AC68" i="1"/>
  <c r="AB68" i="1"/>
  <c r="Y52" i="1" s="1"/>
  <c r="AA68" i="1"/>
  <c r="Z68" i="1"/>
  <c r="Y68" i="1"/>
  <c r="X68" i="1"/>
  <c r="AI67" i="1"/>
  <c r="AH67" i="1"/>
  <c r="AG67" i="1"/>
  <c r="AF67" i="1"/>
  <c r="AE67" i="1"/>
  <c r="AD67" i="1"/>
  <c r="AC67" i="1"/>
  <c r="AB67" i="1"/>
  <c r="Y51" i="1" s="1"/>
  <c r="AA67" i="1"/>
  <c r="Z67" i="1"/>
  <c r="Y67" i="1"/>
  <c r="X67" i="1"/>
  <c r="AI66" i="1"/>
  <c r="AH66" i="1"/>
  <c r="AG66" i="1"/>
  <c r="AF66" i="1"/>
  <c r="AE66" i="1"/>
  <c r="AD66" i="1"/>
  <c r="AC66" i="1"/>
  <c r="AB66" i="1"/>
  <c r="Y50" i="1" s="1"/>
  <c r="AA66" i="1"/>
  <c r="Z66" i="1"/>
  <c r="Y66" i="1"/>
  <c r="X66" i="1"/>
  <c r="AI65" i="1"/>
  <c r="AH65" i="1"/>
  <c r="AG65" i="1"/>
  <c r="AF65" i="1"/>
  <c r="AE65" i="1"/>
  <c r="AD65" i="1"/>
  <c r="AC65" i="1"/>
  <c r="AB65" i="1"/>
  <c r="Y49" i="1" s="1"/>
  <c r="AA65" i="1"/>
  <c r="Z65" i="1"/>
  <c r="Y65" i="1"/>
  <c r="X65" i="1"/>
  <c r="AI64" i="1"/>
  <c r="AH64" i="1"/>
  <c r="AG64" i="1"/>
  <c r="AF64" i="1"/>
  <c r="AE64" i="1"/>
  <c r="AD64" i="1"/>
  <c r="AC64" i="1"/>
  <c r="AB64" i="1"/>
  <c r="Y48" i="1" s="1"/>
  <c r="AA64" i="1"/>
  <c r="Z64" i="1"/>
  <c r="Y64" i="1"/>
  <c r="X64" i="1"/>
  <c r="AI63" i="1"/>
  <c r="AH63" i="1"/>
  <c r="AG63" i="1"/>
  <c r="AF63" i="1"/>
  <c r="AE63" i="1"/>
  <c r="AD63" i="1"/>
  <c r="AC63" i="1"/>
  <c r="AB63" i="1"/>
  <c r="Y47" i="1" s="1"/>
  <c r="AA63" i="1"/>
  <c r="Z63" i="1"/>
  <c r="Y63" i="1"/>
  <c r="AI62" i="1"/>
  <c r="AH62" i="1"/>
  <c r="AG62" i="1"/>
  <c r="AF62" i="1"/>
  <c r="AE62" i="1"/>
  <c r="AD62" i="1"/>
  <c r="AC62" i="1"/>
  <c r="AB62" i="1"/>
  <c r="Y46" i="1" s="1"/>
  <c r="AA62" i="1"/>
  <c r="Z62" i="1"/>
  <c r="Y62" i="1"/>
  <c r="X62" i="1"/>
  <c r="AI61" i="1"/>
  <c r="AH61" i="1"/>
  <c r="AG61" i="1"/>
  <c r="AF61" i="1"/>
  <c r="AE61" i="1"/>
  <c r="AD61" i="1"/>
  <c r="AA61" i="1"/>
  <c r="Z61" i="1"/>
  <c r="Y61" i="1"/>
  <c r="X61" i="1"/>
  <c r="X52" i="1" l="1"/>
  <c r="X51" i="1"/>
  <c r="O90" i="1" l="1" a="1"/>
  <c r="O90" i="1" s="1"/>
  <c r="O78" i="1" a="1"/>
  <c r="O78" i="1" s="1"/>
  <c r="O66" i="1" a="1"/>
  <c r="O66" i="1" s="1"/>
  <c r="O54" i="1" a="1"/>
  <c r="O54" i="1" s="1"/>
  <c r="O42" i="1" a="1"/>
  <c r="O42" i="1" s="1"/>
  <c r="O30" i="1" a="1"/>
  <c r="O30" i="1" s="1"/>
  <c r="O18" i="1" a="1"/>
  <c r="O18" i="1" s="1"/>
  <c r="O6" i="1" a="1"/>
  <c r="O6" i="1" s="1"/>
  <c r="N90" i="1" a="1"/>
  <c r="N90" i="1" s="1"/>
  <c r="N78" i="1" a="1"/>
  <c r="N78" i="1" s="1"/>
  <c r="N66" i="1" a="1"/>
  <c r="N66" i="1" s="1"/>
  <c r="N54" i="1" a="1"/>
  <c r="N54" i="1" s="1"/>
  <c r="N42" i="1" a="1"/>
  <c r="N42" i="1" s="1"/>
  <c r="N30" i="1" a="1"/>
  <c r="N30" i="1" s="1"/>
  <c r="N18" i="1" a="1"/>
  <c r="N18" i="1" s="1"/>
  <c r="N6" i="1" a="1"/>
  <c r="N6" i="1" s="1"/>
  <c r="L90" i="1" a="1"/>
  <c r="L90" i="1" s="1"/>
  <c r="K90" i="1" a="1"/>
  <c r="L78" i="1" a="1"/>
  <c r="L78" i="1" s="1"/>
  <c r="L66" i="1" a="1"/>
  <c r="L66" i="1" s="1"/>
  <c r="L54" i="1" a="1"/>
  <c r="L54" i="1" s="1"/>
  <c r="L42" i="1" a="1"/>
  <c r="L42" i="1" s="1"/>
  <c r="L30" i="1" a="1"/>
  <c r="L30" i="1" s="1"/>
  <c r="L18" i="1" a="1"/>
  <c r="L18" i="1" s="1"/>
  <c r="L6" i="1" a="1"/>
  <c r="L6" i="1" s="1"/>
  <c r="M90" i="1" a="1"/>
  <c r="M90" i="1" s="1"/>
  <c r="M78" i="1" a="1"/>
  <c r="M78" i="1" s="1"/>
  <c r="M66" i="1" a="1"/>
  <c r="M66" i="1" s="1"/>
  <c r="M54" i="1" a="1"/>
  <c r="M54" i="1" s="1"/>
  <c r="M42" i="1" a="1"/>
  <c r="M42" i="1" s="1"/>
  <c r="M30" i="1" a="1"/>
  <c r="M30" i="1" s="1"/>
  <c r="M18" i="1" a="1"/>
  <c r="M18" i="1" s="1"/>
  <c r="M6" i="1" a="1"/>
  <c r="M6" i="1" s="1"/>
  <c r="K78" i="1" a="1"/>
  <c r="K66" i="1" a="1"/>
  <c r="K54" i="1" a="1"/>
  <c r="X47" i="1"/>
  <c r="X45" i="1"/>
  <c r="K42" i="1" a="1"/>
  <c r="X39" i="1" a="1"/>
  <c r="X38" i="1" a="1"/>
  <c r="X37" i="1" a="1"/>
  <c r="X36" i="1" a="1"/>
  <c r="X35" i="1" a="1"/>
  <c r="X34" i="1" a="1"/>
  <c r="X33" i="1" a="1"/>
  <c r="X32" i="1" a="1"/>
  <c r="K30" i="1" a="1"/>
  <c r="K18" i="1" a="1"/>
  <c r="K6" i="1" a="1"/>
  <c r="X39" i="1" l="1"/>
  <c r="X38" i="1"/>
  <c r="X35" i="1"/>
  <c r="X32" i="1"/>
  <c r="K6" i="1"/>
  <c r="K54" i="1"/>
  <c r="K18" i="1"/>
  <c r="K66" i="1"/>
  <c r="K30" i="1"/>
  <c r="K90" i="1"/>
  <c r="K42" i="1"/>
  <c r="K78" i="1"/>
  <c r="X37" i="1"/>
  <c r="X33" i="1"/>
  <c r="X46" i="1"/>
  <c r="X34" i="1"/>
  <c r="X36" i="1"/>
  <c r="X48" i="1" l="1"/>
  <c r="X49" i="1" l="1"/>
  <c r="X50" i="1" l="1"/>
  <c r="AG54" i="1" s="1" a="1"/>
  <c r="AG54" i="1" s="1"/>
  <c r="AH53" i="1" l="1" a="1"/>
  <c r="AH53" i="1" s="1"/>
  <c r="AH56" i="1" s="1"/>
  <c r="AJ54" i="1" a="1"/>
  <c r="AJ54" i="1" s="1"/>
  <c r="AG55" i="1"/>
  <c r="AF54" i="1" a="1"/>
  <c r="AF54" i="1" s="1"/>
  <c r="AJ53" i="1" a="1"/>
  <c r="AJ53" i="1" s="1"/>
  <c r="AJ56" i="1" s="1"/>
  <c r="AB53" i="1" a="1"/>
  <c r="AB53" i="1" s="1"/>
  <c r="AB56" i="1" s="1"/>
  <c r="AF53" i="1" a="1"/>
  <c r="AF53" i="1" s="1"/>
  <c r="AF56" i="1" s="1"/>
  <c r="AH55" i="1"/>
  <c r="AF55" i="1"/>
  <c r="AE54" i="1" a="1"/>
  <c r="AE54" i="1" s="1"/>
  <c r="AI55" i="1"/>
  <c r="AE53" i="1" a="1"/>
  <c r="AE53" i="1" s="1"/>
  <c r="AE56" i="1" s="1"/>
  <c r="AH54" i="1" a="1"/>
  <c r="AH54" i="1" s="1"/>
  <c r="AG53" i="1" a="1"/>
  <c r="AG53" i="1" s="1"/>
  <c r="AG56" i="1" s="1"/>
  <c r="AI54" i="1" a="1"/>
  <c r="AI54" i="1" s="1"/>
  <c r="AE55" i="1"/>
  <c r="AI53" i="1" a="1"/>
  <c r="AI53" i="1" s="1"/>
  <c r="AI56" i="1" s="1"/>
  <c r="Y53" i="1" a="1"/>
  <c r="Y53" i="1" s="1"/>
  <c r="Y56" i="1" s="1"/>
  <c r="AJ55" i="1"/>
  <c r="Z54" i="1" a="1"/>
  <c r="Z54" i="1" s="1"/>
  <c r="Z55" i="1"/>
  <c r="AC53" i="1" a="1"/>
  <c r="AC53" i="1" s="1"/>
  <c r="AC56" i="1" s="1"/>
  <c r="AB55" i="1"/>
  <c r="Y54" i="1" a="1"/>
  <c r="Y54" i="1" s="1"/>
  <c r="AA53" i="1" a="1"/>
  <c r="AA53" i="1" s="1"/>
  <c r="AA56" i="1" s="1"/>
  <c r="AD55" i="1"/>
  <c r="AC55" i="1"/>
  <c r="AC54" i="1" a="1"/>
  <c r="AC54" i="1" s="1"/>
  <c r="Y55" i="1"/>
  <c r="AB54" i="1" a="1"/>
  <c r="AB54" i="1" s="1"/>
  <c r="AA55" i="1"/>
  <c r="AD54" i="1" a="1"/>
  <c r="AD54" i="1" s="1"/>
  <c r="AA54" i="1" a="1"/>
  <c r="AA54" i="1" s="1"/>
  <c r="AD53" i="1" a="1"/>
  <c r="AD53" i="1" s="1"/>
  <c r="AD56" i="1" s="1"/>
  <c r="Z53" i="1" a="1"/>
  <c r="Z53" i="1" s="1"/>
  <c r="Z56" i="1" s="1"/>
  <c r="Q15" i="1" l="1" a="1"/>
  <c r="Q15" i="1" s="1"/>
  <c r="Q101" i="1" a="1"/>
  <c r="Q101" i="1" s="1"/>
  <c r="S101" i="1" s="1"/>
  <c r="Q89" i="1" a="1"/>
  <c r="Q89" i="1" s="1"/>
  <c r="S89" i="1" s="1"/>
  <c r="Q41" i="1" a="1"/>
  <c r="Q41" i="1" s="1"/>
  <c r="S41" i="1" s="1"/>
  <c r="Q77" i="1" a="1"/>
  <c r="Q77" i="1" s="1"/>
  <c r="S77" i="1" s="1"/>
  <c r="Q65" i="1" a="1"/>
  <c r="Q65" i="1" s="1"/>
  <c r="S65" i="1" s="1"/>
  <c r="Q29" i="1" a="1"/>
  <c r="Q29" i="1" s="1"/>
  <c r="S29" i="1" s="1"/>
  <c r="Q17" i="1" a="1"/>
  <c r="Q17" i="1" s="1"/>
  <c r="S17" i="1" s="1"/>
  <c r="Q53" i="1" a="1"/>
  <c r="Q53" i="1" s="1"/>
  <c r="S53" i="1" s="1"/>
  <c r="Q52" i="1" a="1"/>
  <c r="Q52" i="1" s="1"/>
  <c r="Q16" i="1" a="1"/>
  <c r="Q16" i="1" s="1"/>
  <c r="Q100" i="1" a="1"/>
  <c r="Q100" i="1" s="1"/>
  <c r="Q76" i="1" a="1"/>
  <c r="Q76" i="1" s="1"/>
  <c r="Q88" i="1" a="1"/>
  <c r="Q88" i="1" s="1"/>
  <c r="Q40" i="1" a="1"/>
  <c r="Q40" i="1" s="1"/>
  <c r="Q28" i="1" a="1"/>
  <c r="Q28" i="1" s="1"/>
  <c r="Q64" i="1" a="1"/>
  <c r="Q64" i="1" s="1"/>
  <c r="Q73" i="1" a="1"/>
  <c r="Q73" i="1" s="1"/>
  <c r="S73" i="1" s="1"/>
  <c r="Q49" i="1" a="1"/>
  <c r="Q49" i="1" s="1"/>
  <c r="S49" i="1" s="1"/>
  <c r="Q97" i="1" a="1"/>
  <c r="Q97" i="1" s="1"/>
  <c r="S97" i="1" s="1"/>
  <c r="Q13" i="1" a="1"/>
  <c r="Q13" i="1" s="1"/>
  <c r="S13" i="1" s="1"/>
  <c r="Q37" i="1" a="1"/>
  <c r="Q37" i="1" s="1"/>
  <c r="S37" i="1" s="1"/>
  <c r="Q61" i="1" a="1"/>
  <c r="Q61" i="1" s="1"/>
  <c r="S61" i="1" s="1"/>
  <c r="Q25" i="1" a="1"/>
  <c r="Q25" i="1" s="1"/>
  <c r="S25" i="1" s="1"/>
  <c r="Q85" i="1" a="1"/>
  <c r="Q85" i="1" s="1"/>
  <c r="S85" i="1" s="1"/>
  <c r="Q86" i="1" a="1"/>
  <c r="Q86" i="1" s="1"/>
  <c r="Q38" i="1" a="1"/>
  <c r="Q38" i="1" s="1"/>
  <c r="Q98" i="1" a="1"/>
  <c r="Q98" i="1" s="1"/>
  <c r="Q62" i="1" a="1"/>
  <c r="Q62" i="1" s="1"/>
  <c r="Q26" i="1" a="1"/>
  <c r="Q26" i="1" s="1"/>
  <c r="Q50" i="1" a="1"/>
  <c r="Q50" i="1" s="1"/>
  <c r="Q14" i="1" a="1"/>
  <c r="Q14" i="1" s="1"/>
  <c r="S14" i="1" s="1"/>
  <c r="Q74" i="1" a="1"/>
  <c r="Q74" i="1" s="1"/>
  <c r="Q87" i="1" a="1"/>
  <c r="Q87" i="1" s="1"/>
  <c r="S87" i="1" s="1"/>
  <c r="Q63" i="1" a="1"/>
  <c r="Q63" i="1" s="1"/>
  <c r="S63" i="1" s="1"/>
  <c r="Q99" i="1" a="1"/>
  <c r="Q99" i="1" s="1"/>
  <c r="S99" i="1" s="1"/>
  <c r="Q39" i="1" a="1"/>
  <c r="Q39" i="1" s="1"/>
  <c r="S39" i="1" s="1"/>
  <c r="Q51" i="1" a="1"/>
  <c r="Q51" i="1" s="1"/>
  <c r="S51" i="1" s="1"/>
  <c r="Q75" i="1" a="1"/>
  <c r="Q75" i="1" s="1"/>
  <c r="S75" i="1" s="1"/>
  <c r="Q27" i="1" a="1"/>
  <c r="Q27" i="1" s="1"/>
  <c r="S27" i="1" s="1"/>
  <c r="Q90" i="1" a="1"/>
  <c r="Q90" i="1" s="1"/>
  <c r="S90" i="1" s="1"/>
  <c r="Q48" i="1" a="1"/>
  <c r="Q48" i="1" s="1"/>
  <c r="Q72" i="1" a="1"/>
  <c r="Q72" i="1" s="1"/>
  <c r="Q36" i="1" a="1"/>
  <c r="Q36" i="1" s="1"/>
  <c r="Q96" i="1" a="1"/>
  <c r="Q96" i="1" s="1"/>
  <c r="Q60" i="1" a="1"/>
  <c r="Q60" i="1" s="1"/>
  <c r="Q24" i="1" a="1"/>
  <c r="Q24" i="1" s="1"/>
  <c r="Q84" i="1" a="1"/>
  <c r="Q84" i="1" s="1"/>
  <c r="Q10" i="1" a="1"/>
  <c r="Q10" i="1" s="1"/>
  <c r="Q58" i="1" a="1"/>
  <c r="Q58" i="1" s="1"/>
  <c r="Q34" i="1" a="1"/>
  <c r="Q34" i="1" s="1"/>
  <c r="Q22" i="1" a="1"/>
  <c r="Q22" i="1" s="1"/>
  <c r="Q70" i="1" a="1"/>
  <c r="Q70" i="1" s="1"/>
  <c r="Q94" i="1" a="1"/>
  <c r="Q94" i="1" s="1"/>
  <c r="Q46" i="1" a="1"/>
  <c r="Q46" i="1" s="1"/>
  <c r="Q82" i="1" a="1"/>
  <c r="Q82" i="1" s="1"/>
  <c r="Q9" i="1" a="1"/>
  <c r="Q9" i="1" s="1"/>
  <c r="S9" i="1" s="1"/>
  <c r="Q33" i="1" a="1"/>
  <c r="Q33" i="1" s="1"/>
  <c r="S33" i="1" s="1"/>
  <c r="Q93" i="1" a="1"/>
  <c r="Q93" i="1" s="1"/>
  <c r="S93" i="1" s="1"/>
  <c r="Q57" i="1" a="1"/>
  <c r="Q57" i="1" s="1"/>
  <c r="S57" i="1" s="1"/>
  <c r="Q21" i="1" a="1"/>
  <c r="Q21" i="1" s="1"/>
  <c r="S21" i="1" s="1"/>
  <c r="Q69" i="1" a="1"/>
  <c r="Q69" i="1" s="1"/>
  <c r="S69" i="1" s="1"/>
  <c r="Q81" i="1" a="1"/>
  <c r="Q81" i="1" s="1"/>
  <c r="S81" i="1" s="1"/>
  <c r="Q45" i="1" a="1"/>
  <c r="Q45" i="1" s="1"/>
  <c r="S45" i="1" s="1"/>
  <c r="Q11" i="1" a="1"/>
  <c r="Q11" i="1" s="1"/>
  <c r="S11" i="1" s="1"/>
  <c r="Q95" i="1" a="1"/>
  <c r="Q95" i="1" s="1"/>
  <c r="S95" i="1" s="1"/>
  <c r="Q59" i="1" a="1"/>
  <c r="Q59" i="1" s="1"/>
  <c r="S59" i="1" s="1"/>
  <c r="Q71" i="1" a="1"/>
  <c r="Q71" i="1" s="1"/>
  <c r="S71" i="1" s="1"/>
  <c r="Q83" i="1" a="1"/>
  <c r="Q83" i="1" s="1"/>
  <c r="S83" i="1" s="1"/>
  <c r="Q35" i="1" a="1"/>
  <c r="Q35" i="1" s="1"/>
  <c r="S35" i="1" s="1"/>
  <c r="Q23" i="1" a="1"/>
  <c r="Q23" i="1" s="1"/>
  <c r="S23" i="1" s="1"/>
  <c r="Q47" i="1" a="1"/>
  <c r="Q47" i="1" s="1"/>
  <c r="S47" i="1" s="1"/>
  <c r="Q68" i="1" a="1"/>
  <c r="Q68" i="1" s="1"/>
  <c r="Q32" i="1" a="1"/>
  <c r="Q32" i="1" s="1"/>
  <c r="Q92" i="1" a="1"/>
  <c r="Q92" i="1" s="1"/>
  <c r="Q44" i="1" a="1"/>
  <c r="Q44" i="1" s="1"/>
  <c r="Q20" i="1" a="1"/>
  <c r="Q20" i="1" s="1"/>
  <c r="Q80" i="1" a="1"/>
  <c r="Q80" i="1" s="1"/>
  <c r="Q56" i="1" a="1"/>
  <c r="Q56" i="1" s="1"/>
  <c r="Q7" i="1" a="1"/>
  <c r="Q7" i="1" s="1"/>
  <c r="S7" i="1" s="1"/>
  <c r="Q18" i="1" a="1"/>
  <c r="Q18" i="1" s="1"/>
  <c r="Q78" i="1" a="1"/>
  <c r="Q78" i="1" s="1"/>
  <c r="Q31" i="1" a="1"/>
  <c r="Q31" i="1" s="1"/>
  <c r="S31" i="1" s="1"/>
  <c r="Q19" i="1" a="1"/>
  <c r="Q19" i="1" s="1"/>
  <c r="S19" i="1" s="1"/>
  <c r="Q79" i="1" a="1"/>
  <c r="Q79" i="1" s="1"/>
  <c r="S79" i="1" s="1"/>
  <c r="Q91" i="1" a="1"/>
  <c r="Q91" i="1" s="1"/>
  <c r="S91" i="1" s="1"/>
  <c r="Q43" i="1" a="1"/>
  <c r="Q43" i="1" s="1"/>
  <c r="S43" i="1" s="1"/>
  <c r="Q54" i="1" a="1"/>
  <c r="Q54" i="1" s="1"/>
  <c r="S54" i="1" s="1"/>
  <c r="Q66" i="1" a="1"/>
  <c r="Q66" i="1" s="1"/>
  <c r="S66" i="1" s="1"/>
  <c r="Q30" i="1" a="1"/>
  <c r="Q30" i="1" s="1"/>
  <c r="Q42" i="1" a="1"/>
  <c r="Q42" i="1" s="1"/>
  <c r="Q55" i="1" a="1"/>
  <c r="Q55" i="1" s="1"/>
  <c r="S55" i="1" s="1"/>
  <c r="Q67" i="1" a="1"/>
  <c r="Q67" i="1" s="1"/>
  <c r="S67" i="1" s="1"/>
  <c r="Q12" i="1" a="1"/>
  <c r="Q12" i="1" s="1"/>
  <c r="Q8" i="1" a="1"/>
  <c r="Q8" i="1" s="1"/>
  <c r="Q6" i="1" a="1"/>
  <c r="Q6" i="1" s="1"/>
  <c r="R12" i="1" l="1"/>
  <c r="S78" i="1"/>
  <c r="R11" i="1"/>
  <c r="R13" i="1"/>
  <c r="S15" i="1"/>
  <c r="R14" i="1"/>
  <c r="S12" i="1"/>
  <c r="R6" i="1"/>
  <c r="R19" i="1"/>
  <c r="R31" i="1"/>
  <c r="R18" i="1"/>
  <c r="R78" i="1"/>
  <c r="R66" i="1"/>
  <c r="S30" i="1"/>
  <c r="R8" i="1"/>
  <c r="R42" i="1"/>
  <c r="R67" i="1"/>
  <c r="R54" i="1"/>
  <c r="R79" i="1"/>
  <c r="S18" i="1"/>
  <c r="S6" i="1"/>
  <c r="X74" i="1" a="1"/>
  <c r="X74" i="1" s="1"/>
  <c r="R90" i="1"/>
  <c r="S42" i="1"/>
  <c r="R55" i="1"/>
  <c r="R30" i="1"/>
  <c r="R7" i="1"/>
  <c r="R43" i="1"/>
  <c r="S44" i="1"/>
  <c r="R45" i="1"/>
  <c r="R44" i="1"/>
  <c r="X73" i="1" a="1"/>
  <c r="X73" i="1" s="1"/>
  <c r="S82" i="1"/>
  <c r="R82" i="1"/>
  <c r="R83" i="1"/>
  <c r="R9" i="1"/>
  <c r="S8" i="1"/>
  <c r="S36" i="1"/>
  <c r="R36" i="1"/>
  <c r="R37" i="1"/>
  <c r="S94" i="1"/>
  <c r="R95" i="1"/>
  <c r="R94" i="1"/>
  <c r="R97" i="1"/>
  <c r="S96" i="1"/>
  <c r="R96" i="1"/>
  <c r="R70" i="1"/>
  <c r="R71" i="1"/>
  <c r="S70" i="1"/>
  <c r="S74" i="1"/>
  <c r="R75" i="1"/>
  <c r="R74" i="1"/>
  <c r="R58" i="1"/>
  <c r="S58" i="1"/>
  <c r="R59" i="1"/>
  <c r="R23" i="1"/>
  <c r="R22" i="1"/>
  <c r="S22" i="1"/>
  <c r="S64" i="1"/>
  <c r="R64" i="1"/>
  <c r="R65" i="1"/>
  <c r="R27" i="1"/>
  <c r="S26" i="1"/>
  <c r="R26" i="1"/>
  <c r="R21" i="1"/>
  <c r="S20" i="1"/>
  <c r="R20" i="1"/>
  <c r="S100" i="1"/>
  <c r="R101" i="1"/>
  <c r="R100" i="1"/>
  <c r="S40" i="1"/>
  <c r="R40" i="1"/>
  <c r="R41" i="1"/>
  <c r="S60" i="1"/>
  <c r="R61" i="1"/>
  <c r="R60" i="1"/>
  <c r="S80" i="1"/>
  <c r="R81" i="1"/>
  <c r="R80" i="1"/>
  <c r="S84" i="1"/>
  <c r="R85" i="1"/>
  <c r="R84" i="1"/>
  <c r="R16" i="1"/>
  <c r="S16" i="1"/>
  <c r="R17" i="1"/>
  <c r="R25" i="1"/>
  <c r="S24" i="1"/>
  <c r="R24" i="1"/>
  <c r="R68" i="1"/>
  <c r="R69" i="1"/>
  <c r="S68" i="1"/>
  <c r="R98" i="1"/>
  <c r="R99" i="1"/>
  <c r="S98" i="1"/>
  <c r="R76" i="1"/>
  <c r="R77" i="1"/>
  <c r="S76" i="1"/>
  <c r="X79" i="1" a="1"/>
  <c r="X79" i="1" s="1"/>
  <c r="S28" i="1"/>
  <c r="R29" i="1"/>
  <c r="R28" i="1"/>
  <c r="R73" i="1"/>
  <c r="S72" i="1"/>
  <c r="R72" i="1"/>
  <c r="X76" i="1" a="1"/>
  <c r="X76" i="1" s="1"/>
  <c r="S38" i="1"/>
  <c r="R38" i="1"/>
  <c r="R39" i="1"/>
  <c r="S10" i="1"/>
  <c r="R10" i="1"/>
  <c r="X77" i="1" a="1"/>
  <c r="X77" i="1" s="1"/>
  <c r="R57" i="1"/>
  <c r="S56" i="1"/>
  <c r="R56" i="1"/>
  <c r="X80" i="1" a="1"/>
  <c r="X80" i="1" s="1"/>
  <c r="R91" i="1"/>
  <c r="R50" i="1"/>
  <c r="S50" i="1"/>
  <c r="R51" i="1"/>
  <c r="R35" i="1"/>
  <c r="S34" i="1"/>
  <c r="R34" i="1"/>
  <c r="S32" i="1"/>
  <c r="R33" i="1"/>
  <c r="R32" i="1"/>
  <c r="R87" i="1"/>
  <c r="R86" i="1"/>
  <c r="S86" i="1"/>
  <c r="X75" i="1" a="1"/>
  <c r="X75" i="1" s="1"/>
  <c r="S88" i="1"/>
  <c r="R88" i="1"/>
  <c r="R89" i="1"/>
  <c r="R15" i="1"/>
  <c r="R46" i="1"/>
  <c r="R47" i="1"/>
  <c r="S46" i="1"/>
  <c r="S92" i="1"/>
  <c r="R92" i="1"/>
  <c r="R93" i="1"/>
  <c r="R63" i="1"/>
  <c r="S62" i="1"/>
  <c r="R62" i="1"/>
  <c r="R48" i="1"/>
  <c r="S48" i="1"/>
  <c r="R49" i="1"/>
  <c r="X78" i="1" a="1"/>
  <c r="X78" i="1" s="1"/>
  <c r="S52" i="1"/>
  <c r="R53" i="1"/>
  <c r="R52" i="1"/>
  <c r="X86" i="1" l="1" a="1"/>
  <c r="X86" i="1" s="1"/>
  <c r="X85" i="1" a="1"/>
  <c r="X85" i="1" s="1"/>
  <c r="X88" i="1" a="1"/>
  <c r="X88" i="1" s="1"/>
  <c r="X92" i="1" a="1"/>
  <c r="X91" i="1" a="1"/>
  <c r="X87" i="1" a="1"/>
  <c r="X87" i="1" s="1"/>
  <c r="X89" i="1" a="1"/>
  <c r="X89" i="1" s="1"/>
  <c r="X90" i="1" a="1"/>
  <c r="X90" i="1" s="1"/>
  <c r="X92" i="1" l="1"/>
  <c r="X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tc={C285225A-19B5-48C1-90EA-593669E76C69}</author>
    <author>tc={48A67468-3E77-4136-9C74-3D3864215832}</author>
    <author>tc={5F0B3C91-919E-4B7D-8C07-35442230102C}</author>
    <author>tc={745CE211-12B6-4C9A-B4BA-BB849EB360CD}</author>
    <author>tc={57EF98F1-CE4B-4EF9-A8E4-58EB34BE3BFA}</author>
    <author>tc={096781ED-B807-48D4-8A52-FB727CFD3660}</author>
    <author>tc={81FE05BB-9A46-49CF-AB0B-872ECE996604}</author>
    <author>tc={8CBBA0D6-A35A-4D28-BDE0-E27475AB58EA}</author>
    <author>tc={9418ED83-4425-4CEE-8EDC-375EA46B614C}</author>
    <author>tc={950F8557-5996-4272-8DF7-C040B5FBA5CC}</author>
    <author>tc={2678050A-6F28-4270-87E7-D8F70BD4E130}</author>
    <author>tc={B53AB829-45A6-4E00-ACE7-10A506486B58}</author>
    <author>tc={F719AF0D-B4BF-4272-9537-14BAB1FD02F1}</author>
    <author>tc={D54820FD-2EF6-4C1A-BC44-0CC64C9AEAA1}</author>
    <author>tc={0ADF1989-43B7-4E0A-9472-26A31185DCB0}</author>
    <author>tc={F13A5E04-EB39-46C8-A9C6-4D5A10740A95}</author>
    <author>tc={2E327502-DF03-4E0B-93EF-E0EF03E710CF}</author>
    <author>tc={68F98AD4-8883-4828-89C9-31A39AF1FC54}</author>
  </authors>
  <commentList>
    <comment ref="A1" authorId="0" shapeId="0" xr:uid="{C285225A-19B5-48C1-90EA-593669E76C6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 name can be anything you like</t>
      </text>
    </comment>
    <comment ref="A2" authorId="1" shapeId="0" xr:uid="{48A67468-3E77-4136-9C74-3D3864215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eds file saved with the experiment.
Give any associated the XLSX and CSV files the same name 
Give any qPCR text file exports the same name</t>
      </text>
    </comment>
    <comment ref="A4" authorId="2" shapeId="0" xr:uid="{5F0B3C91-919E-4B7D-8C07-35442230102C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identifier
Use a dummy identifier if not using a traceable kit. 
Add further description if desired (i.e. "I swapped the salts" or an alternative materials list. This is flexible)</t>
      </text>
    </comment>
    <comment ref="W4" authorId="3" shapeId="0" xr:uid="{745CE211-12B6-4C9A-B4BA-BB849EB360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sample_ids should be arranged here. They will autofill the sample table. </t>
      </text>
    </comment>
    <comment ref="AK4" authorId="4" shapeId="0" xr:uid="{57EF98F1-CE4B-4EF9-A8E4-58EB34BE3BF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writing section</t>
      </text>
    </comment>
    <comment ref="C5" authorId="5" shapeId="0" xr:uid="{096781ED-B807-48D4-8A52-FB727CFD3660}">
      <text>
        <t>[Threaded comment]
Your version of Excel allows you to read this threaded comment; however, any edits to it will get removed if the file is opened in a newer version of Excel. Learn more: https://go.microsoft.com/fwlink/?linkid=870924
Comment:
    eds_id, target, ct, tm
all values to paste from qPCR software (yellow field)</t>
      </text>
    </comment>
    <comment ref="G5" authorId="6" shapeId="0" xr:uid="{81FE05BB-9A46-49CF-AB0B-872ECE9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threshold (ct cutoff)
value selected by user for ct calculation</t>
      </text>
    </comment>
    <comment ref="H5" authorId="7" shapeId="0" xr:uid="{8CBBA0D6-A35A-4D28-BDE0-E27475AB5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sample_id is populated from plate_plan. Use the “; “ to separate from tube_id. Example:
sample_id; tube_id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>
      </text>
    </comment>
    <comment ref="I5" authorId="8" shapeId="0" xr:uid="{9418ED83-4425-4CEE-8EDC-375EA46B6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tube_id (aliquot identifier) is populated from plate_plan. Use the “; “ to separate from sample_id. Example:
sample_id; tube_id
</t>
      </text>
    </comment>
    <comment ref="J5" authorId="9" shapeId="0" xr:uid="{950F8557-5996-4272-8DF7-C040B5FBA5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>
      </text>
    </comment>
    <comment ref="K5" authorId="10" shapeId="0" xr:uid="{2678050A-6F28-4270-87E7-D8F70BD4E130}">
      <text>
        <t>[Threaded comment]
Your version of Excel allows you to read this threaded comment; however, any edits to it will get removed if the file is opened in a newer version of Excel. Learn more: https://go.microsoft.com/fwlink/?linkid=870924
Comment:
    dilution
value is extracted from dilution:variables map</t>
      </text>
    </comment>
    <comment ref="L5" authorId="11" shapeId="0" xr:uid="{B53AB829-45A6-4E00-ACE7-10A50648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var_1, var_2, var_3, var_4
indicates experimental variables being tested. Describe var beneath the dilution variables map or in methods section.
flag 1 = yes
flag 0 = no</t>
      </text>
    </comment>
    <comment ref="P5" authorId="12" shapeId="0" xr:uid="{F719AF0D-B4BF-4272-9537-14BAB1FD02F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>
      </text>
    </comment>
    <comment ref="S5" authorId="13" shapeId="0" xr:uid="{D54820FD-2EF6-4C1A-BC44-0CC64C9A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>
      </text>
    </comment>
    <comment ref="T5" authorId="14" shapeId="0" xr:uid="{0ADF1989-43B7-4E0A-9472-26A31185DC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usr_ignore
ignoring a value will exclude it from calculations
flag 1 = ignore
flag 0 = keep</t>
      </text>
    </comment>
    <comment ref="W15" authorId="15" shapeId="0" xr:uid="{F13A5E04-EB39-46C8-A9C6-4D5A10740A9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notation, separated by semi-colon, to define plate variables
d10 = 10x dilution
v1 = var_1 (variable 1)
define variables in methods or below plate plan</t>
      </text>
    </comment>
    <comment ref="W30" authorId="16" shapeId="0" xr:uid="{2E327502-DF03-4E0B-93EF-E0EF03E71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Plate map of ct valuesfrom column E
Colour formatting is from column J</t>
      </text>
    </comment>
    <comment ref="W42" authorId="17" shapeId="0" xr:uid="{68F98AD4-8883-4828-89C9-31A39AF1FC5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excel we'll manually create our own standard curve to suit development work
In python reports this will be automated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<sst xmlns="http://schemas.openxmlformats.org/spreadsheetml/2006/main" count="605" uniqueCount="211">
  <si>
    <t>Experiment</t>
  </si>
  <si>
    <t>Raw_File</t>
  </si>
  <si>
    <t>Kit_#</t>
  </si>
  <si>
    <t>plate_plan</t>
  </si>
  <si>
    <t>experiment_plan</t>
  </si>
  <si>
    <t>well</t>
  </si>
  <si>
    <t>position</t>
  </si>
  <si>
    <t>eds_id</t>
  </si>
  <si>
    <t>target</t>
  </si>
  <si>
    <t>ct</t>
  </si>
  <si>
    <t>tm</t>
  </si>
  <si>
    <t>threshold</t>
  </si>
  <si>
    <t>sample_id</t>
  </si>
  <si>
    <t>tube_id</t>
  </si>
  <si>
    <t>rep_id</t>
  </si>
  <si>
    <t>dilution</t>
  </si>
  <si>
    <t>var_1</t>
  </si>
  <si>
    <t>var_2</t>
  </si>
  <si>
    <t>var_3</t>
  </si>
  <si>
    <t>var_4</t>
  </si>
  <si>
    <t>usr_
std</t>
  </si>
  <si>
    <t>usr_
recovery</t>
  </si>
  <si>
    <t>usr_
ignore</t>
  </si>
  <si>
    <t>usr_
comments</t>
  </si>
  <si>
    <t>Labels</t>
  </si>
  <si>
    <t>A1</t>
  </si>
  <si>
    <t>A</t>
  </si>
  <si>
    <t>A2</t>
  </si>
  <si>
    <t>B</t>
  </si>
  <si>
    <t>A3</t>
  </si>
  <si>
    <t>C</t>
  </si>
  <si>
    <t>A4</t>
  </si>
  <si>
    <t>D</t>
  </si>
  <si>
    <t>A5</t>
  </si>
  <si>
    <t>E</t>
  </si>
  <si>
    <t>A6</t>
  </si>
  <si>
    <t>F</t>
  </si>
  <si>
    <t>A7</t>
  </si>
  <si>
    <t>G</t>
  </si>
  <si>
    <t>A8</t>
  </si>
  <si>
    <t>H</t>
  </si>
  <si>
    <t>A9</t>
  </si>
  <si>
    <t>A10</t>
  </si>
  <si>
    <t>dilution (d);variables (v) map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</si>
  <si>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</si>
  <si>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</si>
  <si>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</si>
  <si>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</si>
  <si>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</si>
  <si>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</si>
  <si>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</si>
  <si>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</si>
  <si>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</si>
  <si>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</si>
  <si>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</si>
  <si>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</si>
  <si>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</si>
  <si>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</si>
  <si>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</si>
  <si>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ct_map</t>
  </si>
  <si>
    <t>C2</t>
  </si>
  <si>
    <t>Ct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</si>
  <si>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</si>
  <si>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</si>
  <si>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</si>
  <si>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</si>
  <si>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</si>
  <si>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</si>
  <si>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</si>
  <si>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</si>
  <si>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</si>
  <si>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</si>
  <si>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</si>
  <si>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manual_standard_curve</t>
  </si>
  <si>
    <t>D2</t>
  </si>
  <si>
    <t>std1</t>
  </si>
  <si>
    <t>std2</t>
  </si>
  <si>
    <t>std3</t>
  </si>
  <si>
    <t>std4</t>
  </si>
  <si>
    <t>D3</t>
  </si>
  <si>
    <t>log10</t>
  </si>
  <si>
    <t>avg Ct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</si>
  <si>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</si>
  <si>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</si>
  <si>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</si>
  <si>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</si>
  <si>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</si>
  <si>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</si>
  <si>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</si>
  <si>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</si>
  <si>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</si>
  <si>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gradient</t>
  </si>
  <si>
    <t>E1</t>
  </si>
  <si>
    <t>y-intercept</t>
  </si>
  <si>
    <t>E2</t>
  </si>
  <si>
    <t>R-Sq</t>
  </si>
  <si>
    <t>E3</t>
  </si>
  <si>
    <t>PCR_efficiency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</si>
  <si>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</si>
  <si>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</si>
  <si>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</si>
  <si>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</si>
  <si>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</si>
  <si>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</si>
  <si>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</si>
  <si>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</si>
  <si>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</si>
  <si>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</si>
  <si>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</si>
  <si>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</si>
  <si>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</si>
  <si>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</si>
  <si>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</si>
  <si>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</si>
  <si>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</si>
  <si>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</si>
  <si>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</si>
  <si>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</si>
  <si>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</si>
  <si>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</si>
  <si>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</si>
  <si>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</si>
  <si>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</si>
  <si>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</si>
  <si>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</si>
  <si>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</si>
  <si>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</si>
  <si>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</si>
  <si>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</si>
  <si>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</si>
  <si>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</si>
  <si>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</si>
  <si>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</si>
  <si>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</si>
  <si>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</si>
  <si>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</si>
  <si>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</si>
  <si>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</si>
  <si>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</si>
  <si>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</si>
  <si>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</si>
  <si>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</si>
  <si>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</si>
  <si>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Operator(s)</t>
  </si>
  <si>
    <t>usr_
raw_ng/L</t>
  </si>
  <si>
    <t>ng/L</t>
  </si>
  <si>
    <t>var_1 (desc)</t>
  </si>
  <si>
    <t>var_2 (desc)</t>
  </si>
  <si>
    <t>var_3 (desc)</t>
  </si>
  <si>
    <t>var_4 (desc)</t>
  </si>
  <si>
    <t>usr_
mean_ng/L</t>
  </si>
  <si>
    <t>std5</t>
  </si>
  <si>
    <t>std6</t>
  </si>
  <si>
    <t>concentration_map (averages)</t>
  </si>
  <si>
    <t>concentration_map (raw)</t>
  </si>
  <si>
    <t>ct_map (averages)</t>
  </si>
  <si>
    <t>d1;v1</t>
  </si>
  <si>
    <t>d10;v1</t>
  </si>
  <si>
    <t>std7</t>
  </si>
  <si>
    <t>std8</t>
  </si>
  <si>
    <t>std9</t>
  </si>
  <si>
    <t>std11</t>
  </si>
  <si>
    <t>std12</t>
  </si>
  <si>
    <t>std10</t>
  </si>
  <si>
    <t>known</t>
  </si>
  <si>
    <t>std1[2000]_progen#62008</t>
  </si>
  <si>
    <t>std1[400]_progen#62008</t>
  </si>
  <si>
    <t>std1[80]_progen#62008</t>
  </si>
  <si>
    <t>std1[16]_progen#62008</t>
  </si>
  <si>
    <t>std1[3.2]_progen#62008</t>
  </si>
  <si>
    <t>std1[0.64]_progen#62008</t>
  </si>
  <si>
    <t>std1[0.128]_progen#62008</t>
  </si>
  <si>
    <t>std1[0]_progen#62008</t>
  </si>
  <si>
    <t>MiND33215JM-1; NURF161236</t>
  </si>
  <si>
    <t>MiND25146DS-1; NURF545234</t>
  </si>
  <si>
    <t>MiND33263MM-1; NURF550023</t>
  </si>
  <si>
    <t>MiND33340SC-1; NURG338190</t>
  </si>
  <si>
    <t>MiND33147TM-1; NURG336767</t>
  </si>
  <si>
    <t>MiND39003DS-1; NURG331513</t>
  </si>
  <si>
    <t>MiND33291MM-1; NURG329077</t>
  </si>
  <si>
    <t>MiND33254AW-1; NURG329554</t>
  </si>
  <si>
    <t>MiND25067EC-1; NURG333885</t>
  </si>
  <si>
    <t>MiND12234JM-1; NURF899481</t>
  </si>
  <si>
    <t>MiND33333PO-1; NURF899959</t>
  </si>
  <si>
    <t>MiND12247JW-1; NURF658042</t>
  </si>
  <si>
    <t>MiND33253IH-1; NURF650846</t>
  </si>
  <si>
    <t>MiND31055LH-1; NURF651021</t>
  </si>
  <si>
    <t>MiND33274PR-1; NURF652765</t>
  </si>
  <si>
    <t>MiND33328YS-1; NURF583641</t>
  </si>
  <si>
    <t>MiND31056SR-1; NURF584002</t>
  </si>
  <si>
    <t>MiND12203GG-1; NURF588442</t>
  </si>
  <si>
    <t>MiND25187AE-1; NURF589405</t>
  </si>
  <si>
    <t>MiND25147ML-1; NURF581713</t>
  </si>
  <si>
    <t>MiND33283KO-1; NURF586055</t>
  </si>
  <si>
    <t>MiND33290MR-1; NURF586532</t>
  </si>
  <si>
    <t>MiND12229IS-1; NURG112501</t>
  </si>
  <si>
    <t>MiND12238CD-1; NURG116932</t>
  </si>
  <si>
    <t>MiND12239JP-1; NURG117311</t>
  </si>
  <si>
    <t>MiND12228JF-1; NURF983674</t>
  </si>
  <si>
    <t>MiND12250JO-1; NURG116233</t>
  </si>
  <si>
    <t>MiND12249PM-1; NURG120670</t>
  </si>
  <si>
    <t>MiND12240MW-1; NURG121147</t>
  </si>
  <si>
    <t>Jeff</t>
  </si>
  <si>
    <t>Sample 1</t>
  </si>
  <si>
    <t>Target 1</t>
  </si>
  <si>
    <t>NFL-QC-H</t>
  </si>
  <si>
    <t>NFL-QC-M</t>
  </si>
  <si>
    <t>NFL-QC-L</t>
  </si>
  <si>
    <t xml:space="preserve">Standard iPLA protocol: Testing on demo qPCR Quant 5. </t>
  </si>
  <si>
    <t>251110_iPLA_NfLplasma_demo2</t>
  </si>
  <si>
    <t>251110_iPLA_NfLplasma_demo2.eds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</si>
</sst>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11">
    <xf numFmtId="0" fontId="0" fillId="0" borderId="0" xfId="0"/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3" fillId="3" borderId="0" xfId="0" applyFont="1" applyFill="1" applyProtection="1"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49" fontId="0" fillId="3" borderId="0" xfId="0" applyNumberForma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3" borderId="0" xfId="0" applyFon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5" fillId="3" borderId="0" xfId="0" applyFont="1" applyFill="1" applyProtection="1">
      <protection locked="0"/>
    </xf>
    <xf numFmtId="0" fontId="0" fillId="3" borderId="8" xfId="0" applyFill="1" applyBorder="1" applyAlignment="1" applyProtection="1">
      <alignment horizontal="center"/>
      <protection locked="0"/>
    </xf>
    <xf numFmtId="1" fontId="0" fillId="3" borderId="8" xfId="0" applyNumberForma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164" fontId="0" fillId="2" borderId="5" xfId="0" applyNumberFormat="1" applyFill="1" applyBorder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3" fillId="3" borderId="0" xfId="0" applyFont="1" applyFill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3" borderId="0" xfId="0" applyFont="1" applyFill="1" applyAlignment="1" applyProtection="1">
      <alignment horizontal="left"/>
      <protection locked="0"/>
    </xf>
    <xf numFmtId="0" fontId="0" fillId="2" borderId="0" xfId="0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right"/>
    </xf>
    <xf numFmtId="165" fontId="0" fillId="2" borderId="6" xfId="1" applyNumberFormat="1" applyFont="1" applyFill="1" applyBorder="1" applyAlignment="1" applyProtection="1">
      <alignment horizontal="center"/>
    </xf>
    <xf numFmtId="165" fontId="0" fillId="2" borderId="5" xfId="1" applyNumberFormat="1" applyFont="1" applyFill="1" applyBorder="1" applyAlignment="1" applyProtection="1">
      <alignment horizontal="center"/>
    </xf>
    <xf numFmtId="165" fontId="0" fillId="2" borderId="12" xfId="1" applyNumberFormat="1" applyFont="1" applyFill="1" applyBorder="1" applyAlignment="1" applyProtection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13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right"/>
    </xf>
    <xf numFmtId="2" fontId="0" fillId="2" borderId="13" xfId="1" applyNumberFormat="1" applyFont="1" applyFill="1" applyBorder="1" applyAlignment="1" applyProtection="1">
      <alignment horizontal="center"/>
    </xf>
    <xf numFmtId="0" fontId="5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2" borderId="4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7" xfId="0" applyFill="1" applyBorder="1"/>
    <xf numFmtId="0" fontId="0" fillId="3" borderId="9" xfId="0" applyFill="1" applyBorder="1"/>
    <xf numFmtId="0" fontId="0" fillId="3" borderId="7" xfId="0" applyFill="1" applyBorder="1"/>
    <xf numFmtId="0" fontId="0" fillId="3" borderId="11" xfId="0" applyFill="1" applyBorder="1"/>
    <xf numFmtId="0" fontId="3" fillId="3" borderId="8" xfId="0" applyFont="1" applyFill="1" applyBorder="1"/>
    <xf numFmtId="164" fontId="4" fillId="3" borderId="0" xfId="0" applyNumberFormat="1" applyFont="1" applyFill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10" fillId="3" borderId="0" xfId="0" applyFont="1" applyFill="1" applyProtection="1">
      <protection locked="0"/>
    </xf>
    <xf numFmtId="0" fontId="2" fillId="4" borderId="7" xfId="0" applyFont="1" applyFill="1" applyBorder="1" applyAlignment="1">
      <alignment horizontal="left"/>
    </xf>
    <xf numFmtId="0" fontId="5" fillId="0" borderId="0" xfId="0" applyFont="1" applyProtection="1"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4" fillId="3" borderId="0" xfId="0" applyFont="1" applyFill="1" applyAlignment="1" applyProtection="1">
      <alignment horizontal="left"/>
      <protection locked="0"/>
    </xf>
    <xf numFmtId="0" fontId="15" fillId="3" borderId="0" xfId="0" applyFont="1" applyFill="1" applyAlignment="1" applyProtection="1">
      <alignment horizontal="center"/>
      <protection locked="0"/>
    </xf>
    <xf numFmtId="0" fontId="15" fillId="3" borderId="0" xfId="0" applyFont="1" applyFill="1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13" fillId="3" borderId="0" xfId="0" applyFont="1" applyFill="1" applyAlignment="1" applyProtection="1">
      <alignment horizontal="left"/>
      <protection locked="0"/>
    </xf>
    <xf numFmtId="2" fontId="0" fillId="3" borderId="0" xfId="0" applyNumberFormat="1" applyFill="1" applyProtection="1">
      <protection locked="0"/>
    </xf>
    <xf numFmtId="0" fontId="5" fillId="2" borderId="7" xfId="0" applyFont="1" applyFill="1" applyBorder="1" applyAlignment="1">
      <alignment horizontal="center"/>
    </xf>
    <xf numFmtId="2" fontId="0" fillId="2" borderId="10" xfId="1" applyNumberFormat="1" applyFont="1" applyFill="1" applyBorder="1" applyAlignment="1" applyProtection="1">
      <alignment horizontal="center"/>
    </xf>
    <xf numFmtId="0" fontId="5" fillId="2" borderId="13" xfId="0" applyFont="1" applyFill="1" applyBorder="1" applyAlignment="1">
      <alignment horizontal="center"/>
    </xf>
    <xf numFmtId="165" fontId="0" fillId="2" borderId="4" xfId="1" applyNumberFormat="1" applyFont="1" applyFill="1" applyBorder="1" applyAlignment="1" applyProtection="1">
      <alignment horizontal="center"/>
    </xf>
    <xf numFmtId="165" fontId="0" fillId="2" borderId="8" xfId="0" applyNumberForma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2" fontId="0" fillId="2" borderId="7" xfId="1" applyNumberFormat="1" applyFont="1" applyFill="1" applyBorder="1" applyAlignment="1" applyProtection="1">
      <alignment horizontal="center"/>
    </xf>
    <xf numFmtId="49" fontId="0" fillId="3" borderId="0" xfId="0" applyNumberForma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49" fontId="8" fillId="3" borderId="0" xfId="0" applyNumberFormat="1" applyFont="1" applyFill="1" applyProtection="1">
      <protection locked="0"/>
    </xf>
    <xf numFmtId="49" fontId="8" fillId="3" borderId="0" xfId="0" applyNumberFormat="1" applyFont="1" applyFill="1" applyAlignment="1" applyProtection="1">
      <alignment horizontal="center"/>
      <protection locked="0"/>
    </xf>
    <xf numFmtId="1" fontId="0" fillId="3" borderId="0" xfId="0" applyNumberFormat="1" applyFill="1" applyAlignment="1" applyProtection="1">
      <alignment horizontal="center"/>
      <protection locked="0"/>
    </xf>
    <xf numFmtId="0" fontId="9" fillId="3" borderId="0" xfId="0" applyFont="1" applyFill="1" applyProtection="1">
      <protection locked="0"/>
    </xf>
    <xf numFmtId="49" fontId="9" fillId="3" borderId="0" xfId="0" applyNumberFormat="1" applyFont="1" applyFill="1" applyProtection="1">
      <protection locked="0"/>
    </xf>
    <xf numFmtId="0" fontId="2" fillId="4" borderId="15" xfId="0" applyFont="1" applyFill="1" applyBorder="1" applyAlignment="1">
      <alignment horizontal="center"/>
    </xf>
    <xf numFmtId="1" fontId="9" fillId="3" borderId="0" xfId="0" applyNumberFormat="1" applyFont="1" applyFill="1" applyAlignment="1" applyProtection="1">
      <alignment horizontal="center"/>
      <protection locked="0"/>
    </xf>
    <xf numFmtId="49" fontId="0" fillId="3" borderId="0" xfId="0" applyNumberFormat="1" applyFill="1" applyAlignment="1" applyProtection="1">
      <alignment horizontal="left"/>
      <protection locked="0"/>
    </xf>
    <xf numFmtId="49" fontId="16" fillId="3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0" xfId="0" applyFill="1"/>
    <xf numFmtId="0" fontId="0" fillId="3" borderId="0" xfId="0" applyFill="1"/>
    <xf numFmtId="0" fontId="0" fillId="0" borderId="9" xfId="0" applyBorder="1" applyAlignment="1" applyProtection="1">
      <alignment horizontal="center"/>
      <protection locked="0"/>
    </xf>
    <xf numFmtId="0" fontId="17" fillId="4" borderId="12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12" xfId="0" applyFont="1" applyFill="1" applyBorder="1" applyAlignment="1" applyProtection="1">
      <alignment horizontal="center"/>
      <protection locked="0"/>
    </xf>
    <xf numFmtId="0" fontId="17" fillId="4" borderId="4" xfId="0" applyFont="1" applyFill="1" applyBorder="1" applyAlignment="1" applyProtection="1">
      <alignment horizontal="center"/>
      <protection locked="0"/>
    </xf>
    <xf numFmtId="0" fontId="17" fillId="4" borderId="5" xfId="0" applyFont="1" applyFill="1" applyBorder="1" applyAlignment="1" applyProtection="1">
      <alignment horizontal="center"/>
      <protection locked="0"/>
    </xf>
    <xf numFmtId="0" fontId="17" fillId="4" borderId="13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4" borderId="5" xfId="0" applyFont="1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4" borderId="0" xfId="0" applyFont="1" applyFill="1"/>
    <xf numFmtId="0" fontId="0" fillId="0" borderId="4" xfId="0" applyBorder="1" applyAlignment="1" applyProtection="1">
      <alignment vertical="center"/>
      <protection locked="0"/>
    </xf>
    <xf numFmtId="165" fontId="0" fillId="0" borderId="5" xfId="0" applyNumberFormat="1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7" xfId="0" applyBorder="1" applyAlignment="1">
      <alignment horizontal="center"/>
    </xf>
    <xf numFmtId="164" fontId="0" fillId="0" borderId="11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4" fontId="0" fillId="0" borderId="14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16" fillId="0" borderId="8" xfId="0" applyFont="1" applyBorder="1" applyAlignment="1">
      <alignment vertical="center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6" fillId="0" borderId="8" xfId="0" applyFont="1" applyBorder="1" applyProtection="1">
      <protection locked="0"/>
    </xf>
    <xf numFmtId="0" fontId="0" fillId="0" borderId="8" xfId="0" applyBorder="1" applyAlignment="1" applyProtection="1">
      <alignment horizontal="left"/>
      <protection locked="0"/>
    </xf>
    <xf numFmtId="49" fontId="0" fillId="0" borderId="8" xfId="0" applyNumberFormat="1" applyBorder="1" applyAlignment="1" applyProtection="1">
      <alignment horizontal="left"/>
      <protection locked="0"/>
    </xf>
    <xf numFmtId="49" fontId="16" fillId="0" borderId="8" xfId="0" applyNumberFormat="1" applyFont="1" applyBorder="1" applyProtection="1">
      <protection locked="0"/>
    </xf>
    <xf numFmtId="0" fontId="18" fillId="0" borderId="8" xfId="0" applyFont="1" applyBorder="1" applyProtection="1">
      <protection locked="0"/>
    </xf>
    <xf numFmtId="49" fontId="0" fillId="0" borderId="8" xfId="0" applyNumberForma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19" fillId="0" borderId="7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7" xfId="0" applyFont="1" applyBorder="1" applyAlignment="1">
      <alignment horizontal="center"/>
    </xf>
    <xf numFmtId="0" fontId="20" fillId="0" borderId="0" xfId="0" applyFont="1" applyAlignment="1" applyProtection="1">
      <alignment horizontal="left"/>
      <protection locked="0"/>
    </xf>
    <xf numFmtId="0" fontId="19" fillId="0" borderId="0" xfId="0" applyFont="1" applyAlignment="1">
      <alignment horizontal="left"/>
    </xf>
    <xf numFmtId="49" fontId="19" fillId="0" borderId="0" xfId="0" applyNumberFormat="1" applyFont="1" applyProtection="1">
      <protection locked="0"/>
    </xf>
    <xf numFmtId="49" fontId="19" fillId="0" borderId="0" xfId="0" applyNumberFormat="1" applyFont="1" applyAlignment="1" applyProtection="1">
      <alignment horizontal="left"/>
      <protection locked="0"/>
    </xf>
    <xf numFmtId="0" fontId="19" fillId="0" borderId="0" xfId="0" applyFont="1" applyAlignment="1">
      <alignment horizontal="center"/>
    </xf>
  </cellXfs>
  <cellStyles count="3">
    <cellStyle name="Normal" xfId="0" builtinId="0"/>
    <cellStyle name="Normal 2" xfId="2" xr:uid="{2A611197-FBC9-CE4F-A83B-A056C6DF78A3}"/>
    <cellStyle name="Percent" xfId="1" builtinId="5"/>
  </cellStyles>
  <dxfs count="101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theme="2" tint="-9.9948118533890809E-2"/>
      </font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7C80"/>
      <color rgb="FFCBFEFF"/>
      <color rgb="FFFFDBE5"/>
      <color rgb="FFFF9999"/>
      <color rgb="FFE9E2F4"/>
      <color rgb="FFFA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 Smith" id="{D5BACA86-35F9-4FE5-8317-E42FE715FDEB}" userId="S::smith.j@wehi.edu.au::652ced54-4117-4b63-982d-3f49fc8fccf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4-15T10:45:18.62" personId="{D5BACA86-35F9-4FE5-8317-E42FE715FDEB}" id="{C285225A-19B5-48C1-90EA-593669E76C69}">
    <text>Experiment name can be anything you like</text>
  </threadedComment>
  <threadedComment ref="A2" dT="2023-04-15T10:44:45.23" personId="{D5BACA86-35F9-4FE5-8317-E42FE715FDEB}" id="{48A67468-3E77-4136-9C74-3D3864215832}">
    <text>Name of the eds file saved with the experiment.
Give any associated the XLSX and CSV files the same name 
Give any qPCR text file exports the same name</text>
  </threadedComment>
  <threadedComment ref="A4" dT="2023-04-15T10:43:00.35" personId="{D5BACA86-35F9-4FE5-8317-E42FE715FDEB}" id="{5F0B3C91-919E-4B7D-8C07-35442230102C}">
    <text>Kit identifier
Use a dummy identifier if not using a traceable kit. 
Add further description if desired (i.e. "I swapped the salts" or an alternative materials list. This is flexible)</text>
  </threadedComment>
  <threadedComment ref="W4" dT="2023-04-15T10:37:51.69" personId="{D5BACA86-35F9-4FE5-8317-E42FE715FDEB}" id="{745CE211-12B6-4C9A-B4BA-BB849EB360CD}">
    <text xml:space="preserve">sample_ids should be arranged here. They will autofill the sample table. </text>
  </threadedComment>
  <threadedComment ref="AK4" dT="2023-04-15T10:45:39.99" personId="{D5BACA86-35F9-4FE5-8317-E42FE715FDEB}" id="{57EF98F1-CE4B-4EF9-A8E4-58EB34BE3BFA}">
    <text>Free writing section</text>
  </threadedComment>
  <threadedComment ref="C5" dT="2023-04-15T09:48:21.54" personId="{D5BACA86-35F9-4FE5-8317-E42FE715FDEB}" id="{096781ED-B807-48D4-8A52-FB727CFD3660}">
    <text>eds_id, target, ct, tm
all values to paste from qPCR software (yellow field)</text>
  </threadedComment>
  <threadedComment ref="G5" dT="2023-04-15T09:48:53.05" personId="{D5BACA86-35F9-4FE5-8317-E42FE715FDEB}" id="{81FE05BB-9A46-49CF-AB0B-872ECE996604}">
    <text>threshold (ct cutoff)
value selected by user for ct calculation</text>
  </threadedComment>
  <threadedComment ref="H5" dT="2023-05-04T05:10:36.62" personId="{D5BACA86-35F9-4FE5-8317-E42FE715FDEB}" id="{8CBBA0D6-A35A-4D28-BDE0-E27475AB58EA}">
    <text xml:space="preserve">sample_id is populated from plate_plan. Use the “; “ to separate from tube_id. Example:
sample_id; tube_id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ext>
  </threadedComment>
  <threadedComment ref="I5" dT="2023-04-15T09:50:45.23" personId="{D5BACA86-35F9-4FE5-8317-E42FE715FDEB}" id="{9418ED83-4425-4CEE-8EDC-375EA46B614C}">
    <text xml:space="preserve">tube_id (aliquot identifier) is populated from plate_plan. Use the “; “ to separate from sample_id. Example:
sample_id; tube_id
</text>
  </threadedComment>
  <threadedComment ref="J5" dT="2023-04-15T09:52:35.19" personId="{D5BACA86-35F9-4FE5-8317-E42FE715FDEB}" id="{950F8557-5996-4272-8DF7-C040B5FBA5CC}">
    <text>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ext>
  </threadedComment>
  <threadedComment ref="K5" dT="2023-04-15T10:09:21.97" personId="{D5BACA86-35F9-4FE5-8317-E42FE715FDEB}" id="{2678050A-6F28-4270-87E7-D8F70BD4E130}">
    <text>dilution
value is extracted from dilution:variables map</text>
  </threadedComment>
  <threadedComment ref="L5" dT="2023-04-15T10:13:07.94" personId="{D5BACA86-35F9-4FE5-8317-E42FE715FDEB}" id="{B53AB829-45A6-4E00-ACE7-10A506486B58}">
    <text>var_1, var_2, var_3, var_4
indicates experimental variables being tested. Describe var beneath the dilution variables map or in methods section.
flag 1 = yes
flag 0 = no</text>
  </threadedComment>
  <threadedComment ref="P5" dT="2023-04-15T09:57:04.94" personId="{D5BACA86-35F9-4FE5-8317-E42FE715FDEB}" id="{F719AF0D-B4BF-4272-9537-14BAB1FD02F1}">
    <text>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ext>
  </threadedComment>
  <threadedComment ref="S5" dT="2023-04-15T10:31:19.01" personId="{D5BACA86-35F9-4FE5-8317-E42FE715FDEB}" id="{D54820FD-2EF6-4C1A-BC44-0CC64C9AEAA1}">
    <text>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ext>
  </threadedComment>
  <threadedComment ref="T5" dT="2023-04-15T10:13:52.76" personId="{D5BACA86-35F9-4FE5-8317-E42FE715FDEB}" id="{0ADF1989-43B7-4E0A-9472-26A31185DCB0}">
    <text>usr_ignore
ignoring a value will exclude it from calculations
flag 1 = ignore
flag 0 = keep</text>
  </threadedComment>
  <threadedComment ref="W15" dT="2023-04-15T10:37:06.12" personId="{D5BACA86-35F9-4FE5-8317-E42FE715FDEB}" id="{F13A5E04-EB39-46C8-A9C6-4D5A10740A95}">
    <text>use notation, separated by semi-colon, to define plate variables
d10 = 10x dilution
v1 = var_1 (variable 1)
define variables in methods or below plate plan</text>
  </threadedComment>
  <threadedComment ref="W30" dT="2023-04-15T10:46:31.39" personId="{D5BACA86-35F9-4FE5-8317-E42FE715FDEB}" id="{2E327502-DF03-4E0B-93EF-E0EF03E710CF}">
    <text>Plate map of ct valuesfrom column E
Colour formatting is from column J</text>
  </threadedComment>
  <threadedComment ref="W42" dT="2023-04-15T10:47:52.13" personId="{D5BACA86-35F9-4FE5-8317-E42FE715FDEB}" id="{68F98AD4-8883-4828-89C9-31A39AF1FC54}">
    <text>In excel we'll manually create our own standard curve to suit development work
In python reports this will be automated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905D-059F-4F24-A799-BDBF6DD32BEB}">
  <sheetPr>
    <pageSetUpPr fitToPage="1"/>
  </sheetPr>
  <dimension ref="A1:AR101"/>
  <sheetViews>
    <sheetView tabSelected="1" zoomScaleNormal="100" workbookViewId="0">
      <selection activeCell="E3" sqref="E3"/>
    </sheetView>
  </sheetViews>
  <sheetFormatPr defaultColWidth="9.140625" defaultRowHeight="15" x14ac:dyDescent="0.25"/>
  <cols>
    <col min="1" max="1" width="6" style="3" customWidth="1"/>
    <col min="2" max="2" width="10.42578125" style="2" customWidth="1"/>
    <col min="3" max="3" width="37.85546875" style="3" customWidth="1"/>
    <col min="4" max="4" width="19.140625" style="2" customWidth="1"/>
    <col min="5" max="6" width="9.140625" style="2"/>
    <col min="7" max="7" width="11.85546875" style="2" customWidth="1"/>
    <col min="8" max="8" width="29.42578125" style="1" customWidth="1"/>
    <col min="9" max="9" width="10.7109375" style="1" customWidth="1"/>
    <col min="10" max="10" width="11.7109375" style="2" customWidth="1"/>
    <col min="11" max="11" width="9.140625" style="2" customWidth="1"/>
    <col min="12" max="16" width="9.140625" style="2"/>
    <col min="17" max="17" width="13.42578125" style="2" customWidth="1"/>
    <col min="18" max="18" width="15.140625" style="2" customWidth="1"/>
    <col min="19" max="19" width="12" style="2" customWidth="1"/>
    <col min="20" max="20" width="9.140625" style="2" customWidth="1"/>
    <col min="21" max="21" width="26.140625" style="1" customWidth="1"/>
    <col min="22" max="22" width="3.42578125" style="3" customWidth="1"/>
    <col min="23" max="23" width="9.140625" style="3"/>
    <col min="24" max="24" width="12" style="3" bestFit="1" customWidth="1"/>
    <col min="25" max="33" width="9.140625" style="3"/>
    <col min="34" max="34" width="15.85546875" style="3" customWidth="1"/>
    <col min="35" max="35" width="10.28515625" style="3" customWidth="1"/>
    <col min="36" max="36" width="10.7109375" style="3" customWidth="1"/>
    <col min="37" max="16384" width="9.140625" style="3"/>
  </cols>
  <sheetData>
    <row r="1" spans="1:38" ht="15" customHeight="1" x14ac:dyDescent="0.25">
      <c r="A1" s="20" t="s">
        <v>0</v>
      </c>
      <c r="B1" s="21"/>
      <c r="C1" s="200" t="s">
        <v>209</v>
      </c>
      <c r="V1" s="2"/>
    </row>
    <row r="2" spans="1:38" ht="15" customHeight="1" x14ac:dyDescent="0.25">
      <c r="A2" s="20" t="s">
        <v>1</v>
      </c>
      <c r="B2" s="21"/>
      <c r="C2" s="200" t="s">
        <v>210</v>
      </c>
      <c r="F2" s="1"/>
      <c r="G2" s="1"/>
      <c r="H2" s="114"/>
    </row>
    <row r="3" spans="1:38" ht="15" customHeight="1" x14ac:dyDescent="0.25">
      <c r="A3" s="20" t="s">
        <v>143</v>
      </c>
      <c r="B3" s="21"/>
      <c r="C3" s="206" t="s">
        <v>202</v>
      </c>
      <c r="D3" s="110"/>
      <c r="E3" s="110"/>
      <c r="F3" s="109"/>
      <c r="G3" s="109"/>
      <c r="H3" s="115"/>
      <c r="I3" s="111"/>
      <c r="J3" s="112"/>
      <c r="K3" s="112"/>
      <c r="L3" s="112"/>
      <c r="M3" s="112"/>
    </row>
    <row r="4" spans="1:38" ht="15" customHeight="1" x14ac:dyDescent="0.25">
      <c r="A4" s="20" t="s">
        <v>2</v>
      </c>
      <c r="B4" s="21"/>
      <c r="C4" s="201"/>
      <c r="D4" s="110"/>
      <c r="E4" s="110"/>
      <c r="F4" s="110"/>
      <c r="G4" s="110"/>
      <c r="H4" s="109"/>
      <c r="I4" s="113"/>
      <c r="J4" s="112"/>
      <c r="K4" s="112"/>
      <c r="L4" s="112"/>
      <c r="M4" s="112"/>
      <c r="W4" s="39" t="s">
        <v>3</v>
      </c>
      <c r="AK4" s="97" t="s">
        <v>4</v>
      </c>
    </row>
    <row r="5" spans="1:38" ht="35.25" customHeight="1" x14ac:dyDescent="0.25">
      <c r="A5" s="22" t="s">
        <v>5</v>
      </c>
      <c r="B5" s="131" t="s">
        <v>6</v>
      </c>
      <c r="C5" s="158" t="s">
        <v>7</v>
      </c>
      <c r="D5" s="137" t="s">
        <v>8</v>
      </c>
      <c r="E5" s="137" t="s">
        <v>9</v>
      </c>
      <c r="F5" s="137" t="s">
        <v>10</v>
      </c>
      <c r="G5" s="79" t="s">
        <v>11</v>
      </c>
      <c r="H5" s="106" t="s">
        <v>12</v>
      </c>
      <c r="I5" s="106" t="s">
        <v>13</v>
      </c>
      <c r="J5" s="79" t="s">
        <v>14</v>
      </c>
      <c r="K5" s="79" t="s">
        <v>15</v>
      </c>
      <c r="L5" s="79" t="s">
        <v>16</v>
      </c>
      <c r="M5" s="79" t="s">
        <v>17</v>
      </c>
      <c r="N5" s="23" t="s">
        <v>18</v>
      </c>
      <c r="O5" s="23" t="s">
        <v>19</v>
      </c>
      <c r="P5" s="27" t="s">
        <v>20</v>
      </c>
      <c r="Q5" s="28" t="s">
        <v>144</v>
      </c>
      <c r="R5" s="27" t="s">
        <v>150</v>
      </c>
      <c r="S5" s="27" t="s">
        <v>21</v>
      </c>
      <c r="T5" s="27" t="s">
        <v>22</v>
      </c>
      <c r="U5" s="29" t="s">
        <v>23</v>
      </c>
      <c r="W5" s="70" t="s">
        <v>24</v>
      </c>
      <c r="X5" s="70">
        <v>1</v>
      </c>
      <c r="Y5" s="138">
        <v>2</v>
      </c>
      <c r="Z5" s="70">
        <v>3</v>
      </c>
      <c r="AA5" s="131">
        <v>4</v>
      </c>
      <c r="AB5" s="23">
        <v>5</v>
      </c>
      <c r="AC5" s="131">
        <v>6</v>
      </c>
      <c r="AD5" s="23">
        <v>7</v>
      </c>
      <c r="AE5" s="131">
        <v>8</v>
      </c>
      <c r="AF5" s="23">
        <v>9</v>
      </c>
      <c r="AG5" s="131">
        <v>10</v>
      </c>
      <c r="AH5" s="23">
        <v>11</v>
      </c>
      <c r="AI5" s="131">
        <v>12</v>
      </c>
      <c r="AK5" s="192" t="s">
        <v>208</v>
      </c>
      <c r="AL5" s="108"/>
    </row>
    <row r="6" spans="1:38" x14ac:dyDescent="0.25">
      <c r="A6" s="24">
        <v>1</v>
      </c>
      <c r="B6" s="155" t="s">
        <v>25</v>
      </c>
      <c r="C6" s="159" t="s">
        <v>203</v>
      </c>
      <c r="D6" s="6" t="s">
        <v>204</v>
      </c>
      <c r="E6" s="160">
        <v>22.374752813799201</v>
      </c>
      <c r="F6" s="161">
        <v>81.077484130859304</v>
      </c>
      <c r="G6" s="5">
        <v>0.1</v>
      </c>
      <c r="H6" s="30" t="str" cm="1">
        <f t="array" ref="H6">IF(ISNUMBER(SEARCH("; ",X6)), TRIM(INDEX(_xlfn.TEXTSPLIT(X6,"; "),1)), X6)</f>
        <v>NFL-QC-H</v>
      </c>
      <c r="I6" s="30" t="str" cm="1">
        <f t="array" ref="I6">IF(ISNUMBER(SEARCH("; ",X6)), TRIM(INDEX(_xlfn.TEXTSPLIT(X6,"; "),2)), "")</f>
        <v/>
      </c>
      <c r="J6" s="6">
        <v>1</v>
      </c>
      <c r="K6" s="33" t="str" cm="1">
        <f t="array" ref="K6:K17">TRANSPOSE(RIGHT(LEFT(X17:AI17,FIND(";",X17:AI17)-1),LEN(LEFT(X17:AI17,FIND(";",X17:AI17)-1))-1))</f>
        <v>10</v>
      </c>
      <c r="L6" s="33" cm="1">
        <f t="array" ref="L6:L17">TRANSPOSE(IF(ISNUMBER(SEARCH("v1",X17:AI17)),1,0))</f>
        <v>1</v>
      </c>
      <c r="M6" s="33" cm="1">
        <f t="array" ref="M6:M17">TRANSPOSE(IF(ISNUMBER(SEARCH("v2",X17:AI17)),1,0))</f>
        <v>0</v>
      </c>
      <c r="N6" s="33" cm="1">
        <f t="array" ref="N6:N17">TRANSPOSE(IF(ISNUMBER(SEARCH("v3",X17:AI17)),1,0))</f>
        <v>0</v>
      </c>
      <c r="O6" s="33" cm="1">
        <f t="array" ref="O6:O17">TRANSPOSE(IF(ISNUMBER(SEARCH("v4",X17:AI17)),1,0))</f>
        <v>0</v>
      </c>
      <c r="P6" s="6">
        <v>1</v>
      </c>
      <c r="Q6" s="37" cm="1">
        <f t="array" aca="1" ref="Q6" ca="1">_xlfn.LET(_xlpm.p,P6,_xlpm.e,E6,_xlpm.k,K6,_xlpm.b,INDEX($Y$54:$AJ$54,1,_xlpm.p),_xlpm.s,INDEX($Y$53:$AJ$53,1,_xlpm.p),IF(_xlpm.e="Undetermined","",IF(T6=1,"#N/A",IF(OR(_xlpm.p&lt;1,_xlpm.p&gt;12),"invalid std",_xlpm.k*10^((_xlpm.e-_xlpm.b)/_xlpm.s)))))</f>
        <v>89.184518642390003</v>
      </c>
      <c r="R6" s="37">
        <f t="shared" ref="R6:R69" ca="1" si="0">IFERROR(AVERAGEIF(J:J,J6,Q:Q),"")</f>
        <v>93.01105515082557</v>
      </c>
      <c r="S6" s="36" t="str">
        <f t="shared" ref="S6:S37" ca="1" si="1">IFERROR(Q6/MID(H6,FIND("[",H6)+1,FIND("]",H6)-FIND("[",H6)-1),"")</f>
        <v/>
      </c>
      <c r="T6" s="6">
        <v>0</v>
      </c>
      <c r="U6" s="7"/>
      <c r="W6" s="43" t="s">
        <v>26</v>
      </c>
      <c r="X6" s="207" t="s">
        <v>205</v>
      </c>
      <c r="Y6" s="207" t="s">
        <v>205</v>
      </c>
      <c r="Z6" s="208" t="s">
        <v>178</v>
      </c>
      <c r="AA6" s="208" t="s">
        <v>178</v>
      </c>
      <c r="AB6" s="209" t="s">
        <v>165</v>
      </c>
      <c r="AC6" s="209" t="s">
        <v>165</v>
      </c>
      <c r="AD6" s="208" t="s">
        <v>186</v>
      </c>
      <c r="AE6" s="208" t="s">
        <v>186</v>
      </c>
      <c r="AF6" s="208" t="s">
        <v>194</v>
      </c>
      <c r="AG6" s="208" t="s">
        <v>194</v>
      </c>
      <c r="AH6" s="207" t="s">
        <v>206</v>
      </c>
      <c r="AI6" s="203" t="s">
        <v>206</v>
      </c>
      <c r="AJ6" s="17"/>
      <c r="AK6" s="190"/>
    </row>
    <row r="7" spans="1:38" x14ac:dyDescent="0.25">
      <c r="A7" s="25">
        <v>2</v>
      </c>
      <c r="B7" s="156" t="s">
        <v>27</v>
      </c>
      <c r="C7" s="162" t="s">
        <v>203</v>
      </c>
      <c r="D7" s="9" t="s">
        <v>204</v>
      </c>
      <c r="E7" s="163">
        <v>22.257284299982899</v>
      </c>
      <c r="F7" s="164">
        <v>81.077484130859304</v>
      </c>
      <c r="G7" s="8">
        <v>0.1</v>
      </c>
      <c r="H7" s="31" t="str" cm="1">
        <f t="array" ref="H7">IF(ISNUMBER(SEARCH("; ",Y6)), TRIM(INDEX(_xlfn.TEXTSPLIT(Y6,"; "),1)), Y6)</f>
        <v>NFL-QC-H</v>
      </c>
      <c r="I7" s="31" t="str" cm="1">
        <f t="array" ref="I7">IF(ISNUMBER(SEARCH("; ",Y6)), TRIM(INDEX(_xlfn.TEXTSPLIT(Y6,"; "),2)), "")</f>
        <v/>
      </c>
      <c r="J7" s="9">
        <v>1</v>
      </c>
      <c r="K7" s="34" t="str">
        <v>10</v>
      </c>
      <c r="L7" s="34">
        <v>1</v>
      </c>
      <c r="M7" s="34">
        <v>0</v>
      </c>
      <c r="N7" s="34">
        <v>0</v>
      </c>
      <c r="O7" s="34">
        <v>0</v>
      </c>
      <c r="P7" s="9">
        <v>1</v>
      </c>
      <c r="Q7" s="37" cm="1">
        <f t="array" aca="1" ref="Q7" ca="1">_xlfn.LET(_xlpm.p,P7,_xlpm.e,E7,_xlpm.k,K7,_xlpm.b,INDEX($Y$54:$AJ$54,1,_xlpm.p),_xlpm.s,INDEX($Y$53:$AJ$53,1,_xlpm.p),IF(_xlpm.e="Undetermined","",IF(T7=1,"#N/A",IF(OR(_xlpm.p&lt;1,_xlpm.p&gt;12),"invalid std",_xlpm.k*10^((_xlpm.e-_xlpm.b)/_xlpm.s)))))</f>
        <v>96.837591659261136</v>
      </c>
      <c r="R7" s="37">
        <f t="shared" ca="1" si="0"/>
        <v>93.01105515082557</v>
      </c>
      <c r="S7" s="37" t="str">
        <f t="shared" ca="1" si="1"/>
        <v/>
      </c>
      <c r="T7" s="9">
        <v>0</v>
      </c>
      <c r="U7" s="10"/>
      <c r="W7" s="43" t="s">
        <v>28</v>
      </c>
      <c r="X7" s="207" t="s">
        <v>207</v>
      </c>
      <c r="Y7" s="207" t="s">
        <v>207</v>
      </c>
      <c r="Z7" s="208" t="s">
        <v>179</v>
      </c>
      <c r="AA7" s="208" t="s">
        <v>179</v>
      </c>
      <c r="AB7" s="209" t="s">
        <v>166</v>
      </c>
      <c r="AC7" s="209" t="s">
        <v>166</v>
      </c>
      <c r="AD7" s="208" t="s">
        <v>187</v>
      </c>
      <c r="AE7" s="208" t="s">
        <v>187</v>
      </c>
      <c r="AF7" s="208" t="s">
        <v>195</v>
      </c>
      <c r="AG7" s="208" t="s">
        <v>195</v>
      </c>
      <c r="AH7" s="207" t="s">
        <v>205</v>
      </c>
      <c r="AI7" s="203" t="s">
        <v>205</v>
      </c>
      <c r="AJ7" s="17"/>
      <c r="AK7" s="191"/>
    </row>
    <row r="8" spans="1:38" x14ac:dyDescent="0.25">
      <c r="A8" s="25">
        <v>3</v>
      </c>
      <c r="B8" s="156" t="s">
        <v>29</v>
      </c>
      <c r="C8" s="162" t="s">
        <v>203</v>
      </c>
      <c r="D8" s="9" t="s">
        <v>204</v>
      </c>
      <c r="E8" s="163">
        <v>25.3566011265269</v>
      </c>
      <c r="F8" s="164">
        <v>81.096984863281193</v>
      </c>
      <c r="G8" s="8">
        <v>0.1</v>
      </c>
      <c r="H8" s="31" t="str" cm="1">
        <f t="array" ref="H8">IF(ISNUMBER(SEARCH("; ",Z6)), TRIM(INDEX(_xlfn.TEXTSPLIT(Z6,"; "),1)), Z6)</f>
        <v>MiND39003DS-1</v>
      </c>
      <c r="I8" s="31" t="str" cm="1">
        <f t="array" ref="I8">IF(ISNUMBER(SEARCH("; ",Z6)), TRIM(INDEX(_xlfn.TEXTSPLIT(Z6,"; "),2)), "")</f>
        <v>NURG331513</v>
      </c>
      <c r="J8" s="9">
        <v>2</v>
      </c>
      <c r="K8" s="34" t="str">
        <v>10</v>
      </c>
      <c r="L8" s="34">
        <v>1</v>
      </c>
      <c r="M8" s="34">
        <v>0</v>
      </c>
      <c r="N8" s="34">
        <v>0</v>
      </c>
      <c r="O8" s="34">
        <v>0</v>
      </c>
      <c r="P8" s="9">
        <v>1</v>
      </c>
      <c r="Q8" s="37" cm="1">
        <f t="array" aca="1" ref="Q8" ca="1">_xlfn.LET(_xlpm.p,P8,_xlpm.e,E8,_xlpm.k,K8,_xlpm.b,INDEX($Y$54:$AJ$54,1,_xlpm.p),_xlpm.s,INDEX($Y$53:$AJ$53,1,_xlpm.p),IF(_xlpm.e="Undetermined","",IF(T8=1,"#N/A",IF(OR(_xlpm.p&lt;1,_xlpm.p&gt;12),"invalid std",_xlpm.k*10^((_xlpm.e-_xlpm.b)/_xlpm.s)))))</f>
        <v>11.032874255057422</v>
      </c>
      <c r="R8" s="37">
        <f t="shared" ca="1" si="0"/>
        <v>11.288700494802931</v>
      </c>
      <c r="S8" s="37" t="str">
        <f t="shared" ca="1" si="1"/>
        <v/>
      </c>
      <c r="T8" s="9">
        <v>0</v>
      </c>
      <c r="U8" s="10"/>
      <c r="W8" s="43" t="s">
        <v>30</v>
      </c>
      <c r="X8" s="207" t="s">
        <v>206</v>
      </c>
      <c r="Y8" s="207" t="s">
        <v>206</v>
      </c>
      <c r="Z8" s="208" t="s">
        <v>180</v>
      </c>
      <c r="AA8" s="208" t="s">
        <v>180</v>
      </c>
      <c r="AB8" s="209" t="s">
        <v>167</v>
      </c>
      <c r="AC8" s="209" t="s">
        <v>167</v>
      </c>
      <c r="AD8" s="208" t="s">
        <v>188</v>
      </c>
      <c r="AE8" s="208" t="s">
        <v>188</v>
      </c>
      <c r="AF8" s="208" t="s">
        <v>196</v>
      </c>
      <c r="AG8" s="208" t="s">
        <v>196</v>
      </c>
      <c r="AH8" s="207" t="s">
        <v>207</v>
      </c>
      <c r="AI8" s="203" t="s">
        <v>207</v>
      </c>
      <c r="AJ8" s="17"/>
      <c r="AK8" s="192"/>
    </row>
    <row r="9" spans="1:38" x14ac:dyDescent="0.25">
      <c r="A9" s="25">
        <v>4</v>
      </c>
      <c r="B9" s="156" t="s">
        <v>31</v>
      </c>
      <c r="C9" s="162" t="s">
        <v>203</v>
      </c>
      <c r="D9" s="9" t="s">
        <v>204</v>
      </c>
      <c r="E9" s="163">
        <v>25.291919567010101</v>
      </c>
      <c r="F9" s="164">
        <v>81.096984863281193</v>
      </c>
      <c r="G9" s="8">
        <v>0.1</v>
      </c>
      <c r="H9" s="31" t="str" cm="1">
        <f t="array" ref="H9">IF(ISNUMBER(SEARCH("; ",AA6)), TRIM(INDEX(_xlfn.TEXTSPLIT(AA6,"; "),1)), AA6)</f>
        <v>MiND39003DS-1</v>
      </c>
      <c r="I9" s="31" t="str" cm="1">
        <f t="array" ref="I9">IF(ISNUMBER(SEARCH("; ",AA6)), TRIM(INDEX(_xlfn.TEXTSPLIT(AA6,"; "),2)), "")</f>
        <v>NURG331513</v>
      </c>
      <c r="J9" s="9">
        <v>2</v>
      </c>
      <c r="K9" s="34" t="str">
        <v>10</v>
      </c>
      <c r="L9" s="34">
        <v>1</v>
      </c>
      <c r="M9" s="34">
        <v>0</v>
      </c>
      <c r="N9" s="34">
        <v>0</v>
      </c>
      <c r="O9" s="34">
        <v>0</v>
      </c>
      <c r="P9" s="9">
        <v>1</v>
      </c>
      <c r="Q9" s="37" cm="1">
        <f t="array" aca="1" ref="Q9" ca="1">_xlfn.LET(_xlpm.p,P9,_xlpm.e,E9,_xlpm.k,K9,_xlpm.b,INDEX($Y$54:$AJ$54,1,_xlpm.p),_xlpm.s,INDEX($Y$53:$AJ$53,1,_xlpm.p),IF(_xlpm.e="Undetermined","",IF(T9=1,"#N/A",IF(OR(_xlpm.p&lt;1,_xlpm.p&gt;12),"invalid std",_xlpm.k*10^((_xlpm.e-_xlpm.b)/_xlpm.s)))))</f>
        <v>11.544526734548441</v>
      </c>
      <c r="R9" s="37">
        <f t="shared" ca="1" si="0"/>
        <v>11.288700494802931</v>
      </c>
      <c r="S9" s="37" t="str">
        <f t="shared" ca="1" si="1"/>
        <v/>
      </c>
      <c r="T9" s="9">
        <v>0</v>
      </c>
      <c r="U9" s="10"/>
      <c r="W9" s="43" t="s">
        <v>32</v>
      </c>
      <c r="X9" s="207" t="s">
        <v>173</v>
      </c>
      <c r="Y9" s="207" t="s">
        <v>173</v>
      </c>
      <c r="Z9" s="208" t="s">
        <v>181</v>
      </c>
      <c r="AA9" s="208" t="s">
        <v>181</v>
      </c>
      <c r="AB9" s="209" t="s">
        <v>168</v>
      </c>
      <c r="AC9" s="209" t="s">
        <v>168</v>
      </c>
      <c r="AD9" s="208" t="s">
        <v>189</v>
      </c>
      <c r="AE9" s="208" t="s">
        <v>189</v>
      </c>
      <c r="AF9" s="208" t="s">
        <v>197</v>
      </c>
      <c r="AG9" s="208" t="s">
        <v>197</v>
      </c>
      <c r="AH9" s="207" t="s">
        <v>205</v>
      </c>
      <c r="AI9" s="203" t="s">
        <v>205</v>
      </c>
      <c r="AJ9" s="17"/>
      <c r="AK9" s="190"/>
    </row>
    <row r="10" spans="1:38" x14ac:dyDescent="0.25">
      <c r="A10" s="25">
        <v>5</v>
      </c>
      <c r="B10" s="156" t="s">
        <v>33</v>
      </c>
      <c r="C10" s="162" t="s">
        <v>203</v>
      </c>
      <c r="D10" s="9" t="s">
        <v>204</v>
      </c>
      <c r="E10" s="163">
        <v>14.5754814886751</v>
      </c>
      <c r="F10" s="164">
        <v>81.055679321289006</v>
      </c>
      <c r="G10" s="8">
        <v>0.1</v>
      </c>
      <c r="H10" s="31" t="str" cm="1">
        <f t="array" ref="H10">IF(ISNUMBER(SEARCH("; ",AB6)), TRIM(INDEX(_xlfn.TEXTSPLIT(AB6,"; "),1)), AB6)</f>
        <v>std1[2000]_progen#62008</v>
      </c>
      <c r="I10" s="31" t="str" cm="1">
        <f t="array" ref="I10">IF(ISNUMBER(SEARCH("; ",AB6)), TRIM(INDEX(_xlfn.TEXTSPLIT(AB6,"; "),2)), "")</f>
        <v/>
      </c>
      <c r="J10" s="9">
        <v>3</v>
      </c>
      <c r="K10" s="34" t="str">
        <v>1</v>
      </c>
      <c r="L10" s="34">
        <v>1</v>
      </c>
      <c r="M10" s="34">
        <v>0</v>
      </c>
      <c r="N10" s="34">
        <v>0</v>
      </c>
      <c r="O10" s="34">
        <v>0</v>
      </c>
      <c r="P10" s="9">
        <v>1</v>
      </c>
      <c r="Q10" s="37" cm="1">
        <f t="array" aca="1" ref="Q10" ca="1">_xlfn.LET(_xlpm.p,P10,_xlpm.e,E10,_xlpm.k,K10,_xlpm.b,INDEX($Y$54:$AJ$54,1,_xlpm.p),_xlpm.s,INDEX($Y$53:$AJ$53,1,_xlpm.p),IF(_xlpm.e="Undetermined","",IF(T10=1,"#N/A",IF(OR(_xlpm.p&lt;1,_xlpm.p&gt;12),"invalid std",_xlpm.k*10^((_xlpm.e-_xlpm.b)/_xlpm.s)))))</f>
        <v>2109.5730853797863</v>
      </c>
      <c r="R10" s="37">
        <f t="shared" ca="1" si="0"/>
        <v>2054.6176368906608</v>
      </c>
      <c r="S10" s="37">
        <f t="shared" ca="1" si="1"/>
        <v>1.0547865426898932</v>
      </c>
      <c r="T10" s="9">
        <v>0</v>
      </c>
      <c r="U10" s="10"/>
      <c r="W10" s="43" t="s">
        <v>34</v>
      </c>
      <c r="X10" s="207" t="s">
        <v>174</v>
      </c>
      <c r="Y10" s="207" t="s">
        <v>174</v>
      </c>
      <c r="Z10" s="208" t="s">
        <v>182</v>
      </c>
      <c r="AA10" s="208" t="s">
        <v>182</v>
      </c>
      <c r="AB10" s="209" t="s">
        <v>169</v>
      </c>
      <c r="AC10" s="209" t="s">
        <v>169</v>
      </c>
      <c r="AD10" s="208" t="s">
        <v>190</v>
      </c>
      <c r="AE10" s="208" t="s">
        <v>190</v>
      </c>
      <c r="AF10" s="208" t="s">
        <v>198</v>
      </c>
      <c r="AG10" s="208" t="s">
        <v>198</v>
      </c>
      <c r="AH10" s="207" t="s">
        <v>205</v>
      </c>
      <c r="AI10" s="203" t="s">
        <v>205</v>
      </c>
      <c r="AJ10" s="17"/>
      <c r="AK10" s="192"/>
    </row>
    <row r="11" spans="1:38" x14ac:dyDescent="0.25">
      <c r="A11" s="25">
        <v>6</v>
      </c>
      <c r="B11" s="156" t="s">
        <v>35</v>
      </c>
      <c r="C11" s="165" t="s">
        <v>203</v>
      </c>
      <c r="D11" s="166" t="s">
        <v>204</v>
      </c>
      <c r="E11" s="166">
        <v>14.651827846953701</v>
      </c>
      <c r="F11" s="164">
        <v>81.055679321289006</v>
      </c>
      <c r="G11" s="8">
        <v>0.1</v>
      </c>
      <c r="H11" s="31" t="str" cm="1">
        <f t="array" ref="H11">IF(ISNUMBER(SEARCH("; ",AC6)), TRIM(INDEX(_xlfn.TEXTSPLIT(AC6,"; "),1)), AC6)</f>
        <v>std1[2000]_progen#62008</v>
      </c>
      <c r="I11" s="31" t="str" cm="1">
        <f t="array" ref="I11">IF(ISNUMBER(SEARCH("; ",AC6)), TRIM(INDEX(_xlfn.TEXTSPLIT(AC6,"; "),2)), "")</f>
        <v/>
      </c>
      <c r="J11" s="9">
        <v>3</v>
      </c>
      <c r="K11" s="34" t="str">
        <v>1</v>
      </c>
      <c r="L11" s="34">
        <v>1</v>
      </c>
      <c r="M11" s="34">
        <v>0</v>
      </c>
      <c r="N11" s="34">
        <v>0</v>
      </c>
      <c r="O11" s="34">
        <v>0</v>
      </c>
      <c r="P11" s="9">
        <v>1</v>
      </c>
      <c r="Q11" s="37" cm="1">
        <f t="array" aca="1" ref="Q11" ca="1">_xlfn.LET(_xlpm.p,P11,_xlpm.e,E11,_xlpm.k,K11,_xlpm.b,INDEX($Y$54:$AJ$54,1,_xlpm.p),_xlpm.s,INDEX($Y$53:$AJ$53,1,_xlpm.p),IF(_xlpm.e="Undetermined","",IF(T11=1,"#N/A",IF(OR(_xlpm.p&lt;1,_xlpm.p&gt;12),"invalid std",_xlpm.k*10^((_xlpm.e-_xlpm.b)/_xlpm.s)))))</f>
        <v>1999.6621884015349</v>
      </c>
      <c r="R11" s="37">
        <f t="shared" ca="1" si="0"/>
        <v>2054.6176368906608</v>
      </c>
      <c r="S11" s="37">
        <f t="shared" ca="1" si="1"/>
        <v>0.99983109420076743</v>
      </c>
      <c r="T11" s="9">
        <v>0</v>
      </c>
      <c r="U11" s="10"/>
      <c r="W11" s="43" t="s">
        <v>36</v>
      </c>
      <c r="X11" s="207" t="s">
        <v>175</v>
      </c>
      <c r="Y11" s="207" t="s">
        <v>175</v>
      </c>
      <c r="Z11" s="208" t="s">
        <v>183</v>
      </c>
      <c r="AA11" s="208" t="s">
        <v>183</v>
      </c>
      <c r="AB11" s="209" t="s">
        <v>170</v>
      </c>
      <c r="AC11" s="209" t="s">
        <v>170</v>
      </c>
      <c r="AD11" s="208" t="s">
        <v>191</v>
      </c>
      <c r="AE11" s="208" t="s">
        <v>191</v>
      </c>
      <c r="AF11" s="208" t="s">
        <v>199</v>
      </c>
      <c r="AG11" s="208" t="s">
        <v>199</v>
      </c>
      <c r="AH11" s="207" t="s">
        <v>207</v>
      </c>
      <c r="AI11" s="203" t="s">
        <v>207</v>
      </c>
      <c r="AJ11" s="17"/>
      <c r="AK11" s="192"/>
    </row>
    <row r="12" spans="1:38" x14ac:dyDescent="0.25">
      <c r="A12" s="25">
        <v>7</v>
      </c>
      <c r="B12" s="156" t="s">
        <v>37</v>
      </c>
      <c r="C12" s="165" t="s">
        <v>203</v>
      </c>
      <c r="D12" s="166" t="s">
        <v>204</v>
      </c>
      <c r="E12" s="166">
        <v>24.325865064544001</v>
      </c>
      <c r="F12" s="164">
        <v>81.095649719238196</v>
      </c>
      <c r="G12" s="8">
        <v>0.1</v>
      </c>
      <c r="H12" s="31" t="str" cm="1">
        <f t="array" ref="H12">IF(ISNUMBER(SEARCH("; ",AD6)), TRIM(INDEX(_xlfn.TEXTSPLIT(AD6,"; "),1)), AD6)</f>
        <v>MiND31055LH-1</v>
      </c>
      <c r="I12" s="31" t="str" cm="1">
        <f t="array" ref="I12">IF(ISNUMBER(SEARCH("; ",AD6)), TRIM(INDEX(_xlfn.TEXTSPLIT(AD6,"; "),2)), "")</f>
        <v>NURF651021</v>
      </c>
      <c r="J12" s="9">
        <v>4</v>
      </c>
      <c r="K12" s="34" t="str">
        <v>10</v>
      </c>
      <c r="L12" s="34">
        <v>1</v>
      </c>
      <c r="M12" s="34">
        <v>0</v>
      </c>
      <c r="N12" s="34">
        <v>0</v>
      </c>
      <c r="O12" s="34">
        <v>0</v>
      </c>
      <c r="P12" s="9">
        <v>1</v>
      </c>
      <c r="Q12" s="37" cm="1">
        <f t="array" aca="1" ref="Q12" ca="1">_xlfn.LET(_xlpm.p,P12,_xlpm.e,E12,_xlpm.k,K12,_xlpm.b,INDEX($Y$54:$AJ$54,1,_xlpm.p),_xlpm.s,INDEX($Y$53:$AJ$53,1,_xlpm.p),IF(_xlpm.e="Undetermined","",IF(T12=1,"#N/A",IF(OR(_xlpm.p&lt;1,_xlpm.p&gt;12),"invalid std",_xlpm.k*10^((_xlpm.e-_xlpm.b)/_xlpm.s)))))</f>
        <v>22.720569218791461</v>
      </c>
      <c r="R12" s="37">
        <f t="shared" ca="1" si="0"/>
        <v>20.126978073181061</v>
      </c>
      <c r="S12" s="37" t="str">
        <f t="shared" ca="1" si="1"/>
        <v/>
      </c>
      <c r="T12" s="9">
        <v>0</v>
      </c>
      <c r="U12" s="10"/>
      <c r="W12" s="43" t="s">
        <v>38</v>
      </c>
      <c r="X12" s="210" t="s">
        <v>176</v>
      </c>
      <c r="Y12" s="210" t="s">
        <v>176</v>
      </c>
      <c r="Z12" s="210" t="s">
        <v>184</v>
      </c>
      <c r="AA12" s="210" t="s">
        <v>184</v>
      </c>
      <c r="AB12" s="207" t="s">
        <v>171</v>
      </c>
      <c r="AC12" s="207" t="s">
        <v>171</v>
      </c>
      <c r="AD12" s="207" t="s">
        <v>192</v>
      </c>
      <c r="AE12" s="207" t="s">
        <v>192</v>
      </c>
      <c r="AF12" s="207" t="s">
        <v>200</v>
      </c>
      <c r="AG12" s="207" t="s">
        <v>200</v>
      </c>
      <c r="AH12" s="207" t="s">
        <v>206</v>
      </c>
      <c r="AI12" s="203" t="s">
        <v>206</v>
      </c>
      <c r="AJ12" s="17"/>
      <c r="AK12" s="192"/>
    </row>
    <row r="13" spans="1:38" x14ac:dyDescent="0.25">
      <c r="A13" s="25">
        <v>8</v>
      </c>
      <c r="B13" s="156" t="s">
        <v>39</v>
      </c>
      <c r="C13" s="162" t="s">
        <v>203</v>
      </c>
      <c r="D13" s="9" t="s">
        <v>204</v>
      </c>
      <c r="E13" s="163">
        <v>24.695650036478</v>
      </c>
      <c r="F13" s="164">
        <v>81.095649719238196</v>
      </c>
      <c r="G13" s="8">
        <v>0.1</v>
      </c>
      <c r="H13" s="31" t="str" cm="1">
        <f t="array" ref="H13">IF(ISNUMBER(SEARCH("; ",AE6)), TRIM(INDEX(_xlfn.TEXTSPLIT(AE6,"; "),1)), AE6)</f>
        <v>MiND31055LH-1</v>
      </c>
      <c r="I13" s="31" t="str" cm="1">
        <f t="array" ref="I13">IF(ISNUMBER(SEARCH("; ",AE6)), TRIM(INDEX(_xlfn.TEXTSPLIT(AE6,"; "),2)), "")</f>
        <v>NURF651021</v>
      </c>
      <c r="J13" s="9">
        <v>4</v>
      </c>
      <c r="K13" s="34" t="str">
        <v>10</v>
      </c>
      <c r="L13" s="34">
        <v>1</v>
      </c>
      <c r="M13" s="34">
        <v>0</v>
      </c>
      <c r="N13" s="34">
        <v>0</v>
      </c>
      <c r="O13" s="34">
        <v>0</v>
      </c>
      <c r="P13" s="9">
        <v>1</v>
      </c>
      <c r="Q13" s="37" cm="1">
        <f t="array" aca="1" ref="Q13" ca="1">_xlfn.LET(_xlpm.p,P13,_xlpm.e,E13,_xlpm.k,K13,_xlpm.b,INDEX($Y$54:$AJ$54,1,_xlpm.p),_xlpm.s,INDEX($Y$53:$AJ$53,1,_xlpm.p),IF(_xlpm.e="Undetermined","",IF(T13=1,"#N/A",IF(OR(_xlpm.p&lt;1,_xlpm.p&gt;12),"invalid std",_xlpm.k*10^((_xlpm.e-_xlpm.b)/_xlpm.s)))))</f>
        <v>17.53338692757066</v>
      </c>
      <c r="R13" s="37">
        <f t="shared" ca="1" si="0"/>
        <v>20.126978073181061</v>
      </c>
      <c r="S13" s="37" t="str">
        <f t="shared" ca="1" si="1"/>
        <v/>
      </c>
      <c r="T13" s="9">
        <v>0</v>
      </c>
      <c r="U13" s="10"/>
      <c r="W13" s="46" t="s">
        <v>40</v>
      </c>
      <c r="X13" s="205" t="s">
        <v>177</v>
      </c>
      <c r="Y13" s="205" t="s">
        <v>177</v>
      </c>
      <c r="Z13" s="205" t="s">
        <v>185</v>
      </c>
      <c r="AA13" s="205" t="s">
        <v>185</v>
      </c>
      <c r="AB13" s="202" t="s">
        <v>172</v>
      </c>
      <c r="AC13" s="202" t="s">
        <v>172</v>
      </c>
      <c r="AD13" s="202" t="s">
        <v>193</v>
      </c>
      <c r="AE13" s="202" t="s">
        <v>193</v>
      </c>
      <c r="AF13" s="202" t="s">
        <v>201</v>
      </c>
      <c r="AG13" s="202" t="s">
        <v>201</v>
      </c>
      <c r="AH13" s="202" t="s">
        <v>205</v>
      </c>
      <c r="AI13" s="204" t="s">
        <v>205</v>
      </c>
      <c r="AJ13" s="17"/>
      <c r="AK13" s="192"/>
    </row>
    <row r="14" spans="1:38" x14ac:dyDescent="0.25">
      <c r="A14" s="25">
        <v>9</v>
      </c>
      <c r="B14" s="156" t="s">
        <v>41</v>
      </c>
      <c r="C14" s="162" t="s">
        <v>203</v>
      </c>
      <c r="D14" s="9" t="s">
        <v>204</v>
      </c>
      <c r="E14" s="163">
        <v>26.150840122598201</v>
      </c>
      <c r="F14" s="164">
        <v>80.918106079101506</v>
      </c>
      <c r="G14" s="8">
        <v>0.1</v>
      </c>
      <c r="H14" s="31" t="str" cm="1">
        <f t="array" ref="H14">IF(ISNUMBER(SEARCH("; ",AF6)), TRIM(INDEX(_xlfn.TEXTSPLIT(AF6,"; "),1)), AF6)</f>
        <v>MiND33290MR-1</v>
      </c>
      <c r="I14" s="31" t="str" cm="1">
        <f t="array" ref="I14">IF(ISNUMBER(SEARCH("; ",AF6)), TRIM(INDEX(_xlfn.TEXTSPLIT(AF6,"; "),2)), "")</f>
        <v>NURF586532</v>
      </c>
      <c r="J14" s="9">
        <v>5</v>
      </c>
      <c r="K14" s="34" t="str">
        <v>10</v>
      </c>
      <c r="L14" s="34">
        <v>1</v>
      </c>
      <c r="M14" s="34">
        <v>0</v>
      </c>
      <c r="N14" s="34">
        <v>0</v>
      </c>
      <c r="O14" s="34">
        <v>0</v>
      </c>
      <c r="P14" s="9">
        <v>1</v>
      </c>
      <c r="Q14" s="37" cm="1">
        <f t="array" aca="1" ref="Q14" ca="1">_xlfn.LET(_xlpm.p,P14,_xlpm.e,E14,_xlpm.k,K14,_xlpm.b,INDEX($Y$54:$AJ$54,1,_xlpm.p),_xlpm.s,INDEX($Y$53:$AJ$53,1,_xlpm.p),IF(_xlpm.e="Undetermined","",IF(T14=1,"#N/A",IF(OR(_xlpm.p&lt;1,_xlpm.p&gt;12),"invalid std",_xlpm.k*10^((_xlpm.e-_xlpm.b)/_xlpm.s)))))</f>
        <v>6.3232737100255489</v>
      </c>
      <c r="R14" s="37">
        <f t="shared" ca="1" si="0"/>
        <v>6.2258510796349844</v>
      </c>
      <c r="S14" s="37" t="str">
        <f t="shared" ca="1" si="1"/>
        <v/>
      </c>
      <c r="T14" s="9">
        <v>0</v>
      </c>
      <c r="U14" s="10"/>
      <c r="W14" s="2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07"/>
      <c r="AK14" s="193"/>
    </row>
    <row r="15" spans="1:38" x14ac:dyDescent="0.25">
      <c r="A15" s="25">
        <v>10</v>
      </c>
      <c r="B15" s="156" t="s">
        <v>42</v>
      </c>
      <c r="C15" s="162" t="s">
        <v>203</v>
      </c>
      <c r="D15" s="9" t="s">
        <v>204</v>
      </c>
      <c r="E15" s="163">
        <v>26.195498357746299</v>
      </c>
      <c r="F15" s="164">
        <v>80.918106079101506</v>
      </c>
      <c r="G15" s="8">
        <v>0.1</v>
      </c>
      <c r="H15" s="31" t="str" cm="1">
        <f t="array" ref="H15">IF(ISNUMBER(SEARCH("; ",AG6)), TRIM(INDEX(_xlfn.TEXTSPLIT(AG6,"; "),1)), AG6)</f>
        <v>MiND33290MR-1</v>
      </c>
      <c r="I15" s="31" t="str" cm="1">
        <f t="array" ref="I15">IF(ISNUMBER(SEARCH("; ",AG6)), TRIM(INDEX(_xlfn.TEXTSPLIT(AG6,"; "),2)), "")</f>
        <v>NURF586532</v>
      </c>
      <c r="J15" s="9">
        <v>5</v>
      </c>
      <c r="K15" s="34" t="str">
        <v>10</v>
      </c>
      <c r="L15" s="34">
        <v>1</v>
      </c>
      <c r="M15" s="34">
        <v>0</v>
      </c>
      <c r="N15" s="34">
        <v>0</v>
      </c>
      <c r="O15" s="34">
        <v>0</v>
      </c>
      <c r="P15" s="9">
        <v>1</v>
      </c>
      <c r="Q15" s="37" cm="1">
        <f t="array" aca="1" ref="Q15" ca="1">_xlfn.LET(_xlpm.p,P15,_xlpm.e,E15,_xlpm.k,K15,_xlpm.b,INDEX($Y$54:$AJ$54,1,_xlpm.p),_xlpm.s,INDEX($Y$53:$AJ$53,1,_xlpm.p),IF(_xlpm.e="Undetermined","",IF(T15=1,"#N/A",IF(OR(_xlpm.p&lt;1,_xlpm.p&gt;12),"invalid std",_xlpm.k*10^((_xlpm.e-_xlpm.b)/_xlpm.s)))))</f>
        <v>6.1284284492444199</v>
      </c>
      <c r="R15" s="37">
        <f t="shared" ca="1" si="0"/>
        <v>6.2258510796349844</v>
      </c>
      <c r="S15" s="37" t="str">
        <f t="shared" ca="1" si="1"/>
        <v/>
      </c>
      <c r="T15" s="9">
        <v>0</v>
      </c>
      <c r="U15" s="10"/>
      <c r="W15" s="39" t="s">
        <v>43</v>
      </c>
      <c r="AK15" s="190"/>
    </row>
    <row r="16" spans="1:38" x14ac:dyDescent="0.25">
      <c r="A16" s="25">
        <v>11</v>
      </c>
      <c r="B16" s="156" t="s">
        <v>44</v>
      </c>
      <c r="C16" s="165" t="s">
        <v>203</v>
      </c>
      <c r="D16" s="166" t="s">
        <v>204</v>
      </c>
      <c r="E16" s="166">
        <v>24.375687556756201</v>
      </c>
      <c r="F16" s="164">
        <v>81.038871765136705</v>
      </c>
      <c r="G16" s="8">
        <v>0.1</v>
      </c>
      <c r="H16" s="31" t="str" cm="1">
        <f t="array" ref="H16">IF(ISNUMBER(SEARCH("; ",AH6)), TRIM(INDEX(_xlfn.TEXTSPLIT(AH6,"; "),1)), AH6)</f>
        <v>NFL-QC-M</v>
      </c>
      <c r="I16" s="31" t="str" cm="1">
        <f t="array" ref="I16">IF(ISNUMBER(SEARCH("; ",AH6)), TRIM(INDEX(_xlfn.TEXTSPLIT(AH6,"; "),2)), "")</f>
        <v/>
      </c>
      <c r="J16" s="9">
        <v>6</v>
      </c>
      <c r="K16" s="34" t="str">
        <v>10</v>
      </c>
      <c r="L16" s="34">
        <v>1</v>
      </c>
      <c r="M16" s="34">
        <v>0</v>
      </c>
      <c r="N16" s="34">
        <v>0</v>
      </c>
      <c r="O16" s="34">
        <v>0</v>
      </c>
      <c r="P16" s="9">
        <v>1</v>
      </c>
      <c r="Q16" s="37" cm="1">
        <f t="array" aca="1" ref="Q16" ca="1">_xlfn.LET(_xlpm.p,P16,_xlpm.e,E16,_xlpm.k,K16,_xlpm.b,INDEX($Y$54:$AJ$54,1,_xlpm.p),_xlpm.s,INDEX($Y$53:$AJ$53,1,_xlpm.p),IF(_xlpm.e="Undetermined","",IF(T16=1,"#N/A",IF(OR(_xlpm.p&lt;1,_xlpm.p&gt;12),"invalid std",_xlpm.k*10^((_xlpm.e-_xlpm.b)/_xlpm.s)))))</f>
        <v>21.940901836176728</v>
      </c>
      <c r="R16" s="37">
        <f t="shared" ca="1" si="0"/>
        <v>20.630638655302413</v>
      </c>
      <c r="S16" s="37" t="str">
        <f t="shared" ca="1" si="1"/>
        <v/>
      </c>
      <c r="T16" s="9">
        <v>0</v>
      </c>
      <c r="U16" s="10"/>
      <c r="W16" s="40"/>
      <c r="X16" s="41">
        <v>1</v>
      </c>
      <c r="Y16" s="41">
        <v>2</v>
      </c>
      <c r="Z16" s="40">
        <v>3</v>
      </c>
      <c r="AA16" s="42">
        <v>4</v>
      </c>
      <c r="AB16" s="41">
        <v>5</v>
      </c>
      <c r="AC16" s="41">
        <v>6</v>
      </c>
      <c r="AD16" s="40">
        <v>7</v>
      </c>
      <c r="AE16" s="42">
        <v>8</v>
      </c>
      <c r="AF16" s="41">
        <v>9</v>
      </c>
      <c r="AG16" s="41">
        <v>10</v>
      </c>
      <c r="AH16" s="40">
        <v>11</v>
      </c>
      <c r="AI16" s="42">
        <v>12</v>
      </c>
      <c r="AK16" s="193"/>
    </row>
    <row r="17" spans="1:42" x14ac:dyDescent="0.25">
      <c r="A17" s="26">
        <v>12</v>
      </c>
      <c r="B17" s="156" t="s">
        <v>45</v>
      </c>
      <c r="C17" s="165" t="s">
        <v>203</v>
      </c>
      <c r="D17" s="166" t="s">
        <v>204</v>
      </c>
      <c r="E17" s="166">
        <v>24.557170490771099</v>
      </c>
      <c r="F17" s="164">
        <v>81.038871765136705</v>
      </c>
      <c r="G17" s="8">
        <v>0.1</v>
      </c>
      <c r="H17" s="31" t="str" cm="1">
        <f t="array" ref="H17">IF(ISNUMBER(SEARCH("; ",AI6)), TRIM(INDEX(_xlfn.TEXTSPLIT(AI6,"; "),1)), AI6)</f>
        <v>NFL-QC-M</v>
      </c>
      <c r="I17" s="31" t="str" cm="1">
        <f t="array" ref="I17">IF(ISNUMBER(SEARCH("; ",AI6)), TRIM(INDEX(_xlfn.TEXTSPLIT(AI6,"; "),2)), "")</f>
        <v/>
      </c>
      <c r="J17" s="9">
        <v>6</v>
      </c>
      <c r="K17" s="34" t="str">
        <v>10</v>
      </c>
      <c r="L17" s="34">
        <v>1</v>
      </c>
      <c r="M17" s="64">
        <v>0</v>
      </c>
      <c r="N17" s="34">
        <v>0</v>
      </c>
      <c r="O17" s="45">
        <v>0</v>
      </c>
      <c r="P17" s="9">
        <v>1</v>
      </c>
      <c r="Q17" s="37" cm="1">
        <f t="array" aca="1" ref="Q17" ca="1">_xlfn.LET(_xlpm.p,P17,_xlpm.e,E17,_xlpm.k,K17,_xlpm.b,INDEX($Y$54:$AJ$54,1,_xlpm.p),_xlpm.s,INDEX($Y$53:$AJ$53,1,_xlpm.p),IF(_xlpm.e="Undetermined","",IF(T17=1,"#N/A",IF(OR(_xlpm.p&lt;1,_xlpm.p&gt;12),"invalid std",_xlpm.k*10^((_xlpm.e-_xlpm.b)/_xlpm.s)))))</f>
        <v>19.320375474428097</v>
      </c>
      <c r="R17" s="37">
        <f t="shared" ca="1" si="0"/>
        <v>20.630638655302413</v>
      </c>
      <c r="S17" s="37" t="str">
        <f t="shared" ca="1" si="1"/>
        <v/>
      </c>
      <c r="T17" s="9">
        <v>0</v>
      </c>
      <c r="U17" s="10"/>
      <c r="W17" s="43" t="s">
        <v>26</v>
      </c>
      <c r="X17" s="135" t="s">
        <v>157</v>
      </c>
      <c r="Y17" s="135" t="s">
        <v>157</v>
      </c>
      <c r="Z17" s="135" t="s">
        <v>157</v>
      </c>
      <c r="AA17" s="135" t="s">
        <v>157</v>
      </c>
      <c r="AB17" s="135" t="s">
        <v>156</v>
      </c>
      <c r="AC17" s="135" t="s">
        <v>156</v>
      </c>
      <c r="AD17" s="135" t="s">
        <v>157</v>
      </c>
      <c r="AE17" s="135" t="s">
        <v>157</v>
      </c>
      <c r="AF17" s="135" t="s">
        <v>157</v>
      </c>
      <c r="AG17" s="135" t="s">
        <v>157</v>
      </c>
      <c r="AH17" s="135" t="s">
        <v>157</v>
      </c>
      <c r="AI17" s="144" t="s">
        <v>157</v>
      </c>
      <c r="AK17" s="184"/>
    </row>
    <row r="18" spans="1:42" x14ac:dyDescent="0.25">
      <c r="A18" s="25">
        <v>13</v>
      </c>
      <c r="B18" s="155" t="s">
        <v>46</v>
      </c>
      <c r="C18" s="159" t="s">
        <v>203</v>
      </c>
      <c r="D18" s="6" t="s">
        <v>204</v>
      </c>
      <c r="E18" s="160">
        <v>26.0336786481822</v>
      </c>
      <c r="F18" s="161">
        <v>80.940422058105398</v>
      </c>
      <c r="G18" s="170">
        <v>0.1</v>
      </c>
      <c r="H18" s="30" t="str" cm="1">
        <f t="array" ref="H18">IF(ISNUMBER(SEARCH("; ",X7)), TRIM(INDEX(_xlfn.TEXTSPLIT(X7,"; "),1)), X7)</f>
        <v>NFL-QC-L</v>
      </c>
      <c r="I18" s="30" t="str" cm="1">
        <f t="array" ref="I18">IF(ISNUMBER(SEARCH("; ",X7)), TRIM(INDEX(_xlfn.TEXTSPLIT(X7,"; "),2)), "")</f>
        <v/>
      </c>
      <c r="J18" s="6">
        <v>7</v>
      </c>
      <c r="K18" s="33" t="str" cm="1">
        <f t="array" ref="K18:K29">TRANSPOSE(RIGHT(LEFT(X18:AI18,FIND(";",X18:AI18)-1),LEN(LEFT(X18:AI18,FIND(";",X18:AI18)-1))-1))</f>
        <v>10</v>
      </c>
      <c r="L18" s="33" cm="1">
        <f t="array" ref="L18:L29">TRANSPOSE(IF(ISNUMBER(SEARCH("v1",X18:AI18)),1,0))</f>
        <v>1</v>
      </c>
      <c r="M18" s="33" cm="1">
        <f t="array" ref="M18:M29">TRANSPOSE(IF(ISNUMBER(SEARCH("v2",X18:AI18)),1,0))</f>
        <v>0</v>
      </c>
      <c r="N18" s="33" cm="1">
        <f t="array" ref="N18:N29">TRANSPOSE(IF(ISNUMBER(SEARCH("v3",X18:AI18)),1,0))</f>
        <v>0</v>
      </c>
      <c r="O18" s="33" cm="1">
        <f t="array" ref="O18:O29">TRANSPOSE(IF(ISNUMBER(SEARCH("v4",X18:AI18)),1,0))</f>
        <v>0</v>
      </c>
      <c r="P18" s="6">
        <v>1</v>
      </c>
      <c r="Q18" s="36" cm="1">
        <f t="array" aca="1" ref="Q18" ca="1">_xlfn.LET(_xlpm.p,P18,_xlpm.e,E18,_xlpm.k,K18,_xlpm.b,INDEX($Y$54:$AJ$54,1,_xlpm.p),_xlpm.s,INDEX($Y$53:$AJ$53,1,_xlpm.p),IF(_xlpm.e="Undetermined","",IF(T18=1,"#N/A",IF(OR(_xlpm.p&lt;1,_xlpm.p&gt;12),"invalid std",_xlpm.k*10^((_xlpm.e-_xlpm.b)/_xlpm.s)))))</f>
        <v>6.8644071241770952</v>
      </c>
      <c r="R18" s="36">
        <f t="shared" ca="1" si="0"/>
        <v>7.4849857531073711</v>
      </c>
      <c r="S18" s="36" t="str">
        <f t="shared" ca="1" si="1"/>
        <v/>
      </c>
      <c r="T18" s="6">
        <v>0</v>
      </c>
      <c r="U18" s="7"/>
      <c r="W18" s="43" t="s">
        <v>28</v>
      </c>
      <c r="X18" s="135" t="s">
        <v>157</v>
      </c>
      <c r="Y18" s="135" t="s">
        <v>157</v>
      </c>
      <c r="Z18" s="135" t="s">
        <v>157</v>
      </c>
      <c r="AA18" s="135" t="s">
        <v>157</v>
      </c>
      <c r="AB18" s="135" t="s">
        <v>156</v>
      </c>
      <c r="AC18" s="135" t="s">
        <v>156</v>
      </c>
      <c r="AD18" s="135" t="s">
        <v>157</v>
      </c>
      <c r="AE18" s="135" t="s">
        <v>157</v>
      </c>
      <c r="AF18" s="135" t="s">
        <v>157</v>
      </c>
      <c r="AG18" s="135" t="s">
        <v>157</v>
      </c>
      <c r="AH18" s="135" t="s">
        <v>157</v>
      </c>
      <c r="AI18" s="144" t="s">
        <v>157</v>
      </c>
      <c r="AK18" s="190"/>
    </row>
    <row r="19" spans="1:42" x14ac:dyDescent="0.25">
      <c r="A19" s="25">
        <v>14</v>
      </c>
      <c r="B19" s="156" t="s">
        <v>47</v>
      </c>
      <c r="C19" s="162" t="s">
        <v>203</v>
      </c>
      <c r="D19" s="9" t="s">
        <v>204</v>
      </c>
      <c r="E19" s="163">
        <v>25.796536409949901</v>
      </c>
      <c r="F19" s="164">
        <v>81.077484130859304</v>
      </c>
      <c r="G19" s="171">
        <v>0.1</v>
      </c>
      <c r="H19" s="31" t="str" cm="1">
        <f t="array" ref="H19">IF(ISNUMBER(SEARCH("; ",Y7)), TRIM(INDEX(_xlfn.TEXTSPLIT(Y7,"; "),1)), Y7)</f>
        <v>NFL-QC-L</v>
      </c>
      <c r="I19" s="31" t="str" cm="1">
        <f t="array" ref="I19">IF(ISNUMBER(SEARCH("; ",Y7)), TRIM(INDEX(_xlfn.TEXTSPLIT(Y7,"; "),2)), "")</f>
        <v/>
      </c>
      <c r="J19" s="9">
        <v>7</v>
      </c>
      <c r="K19" s="34" t="str">
        <v>10</v>
      </c>
      <c r="L19" s="34">
        <v>1</v>
      </c>
      <c r="M19" s="34">
        <v>0</v>
      </c>
      <c r="N19" s="34">
        <v>0</v>
      </c>
      <c r="O19" s="45">
        <v>0</v>
      </c>
      <c r="P19" s="9">
        <v>1</v>
      </c>
      <c r="Q19" s="37" cm="1">
        <f t="array" aca="1" ref="Q19" ca="1">_xlfn.LET(_xlpm.p,P19,_xlpm.e,E19,_xlpm.k,K19,_xlpm.b,INDEX($Y$54:$AJ$54,1,_xlpm.p),_xlpm.s,INDEX($Y$53:$AJ$53,1,_xlpm.p),IF(_xlpm.e="Undetermined","",IF(T19=1,"#N/A",IF(OR(_xlpm.p&lt;1,_xlpm.p&gt;12),"invalid std",_xlpm.k*10^((_xlpm.e-_xlpm.b)/_xlpm.s)))))</f>
        <v>8.1055643820376471</v>
      </c>
      <c r="R19" s="37">
        <f t="shared" ca="1" si="0"/>
        <v>7.4849857531073711</v>
      </c>
      <c r="S19" s="37" t="str">
        <f t="shared" ca="1" si="1"/>
        <v/>
      </c>
      <c r="T19" s="9">
        <v>0</v>
      </c>
      <c r="U19" s="10"/>
      <c r="W19" s="43" t="s">
        <v>30</v>
      </c>
      <c r="X19" s="135" t="s">
        <v>157</v>
      </c>
      <c r="Y19" s="135" t="s">
        <v>157</v>
      </c>
      <c r="Z19" s="135" t="s">
        <v>157</v>
      </c>
      <c r="AA19" s="135" t="s">
        <v>157</v>
      </c>
      <c r="AB19" s="135" t="s">
        <v>156</v>
      </c>
      <c r="AC19" s="135" t="s">
        <v>156</v>
      </c>
      <c r="AD19" s="135" t="s">
        <v>157</v>
      </c>
      <c r="AE19" s="135" t="s">
        <v>157</v>
      </c>
      <c r="AF19" s="135" t="s">
        <v>157</v>
      </c>
      <c r="AG19" s="135" t="s">
        <v>157</v>
      </c>
      <c r="AH19" s="135" t="s">
        <v>157</v>
      </c>
      <c r="AI19" s="144" t="s">
        <v>157</v>
      </c>
      <c r="AK19" s="190"/>
    </row>
    <row r="20" spans="1:42" x14ac:dyDescent="0.25">
      <c r="A20" s="25">
        <v>15</v>
      </c>
      <c r="B20" s="156" t="s">
        <v>48</v>
      </c>
      <c r="C20" s="162" t="s">
        <v>203</v>
      </c>
      <c r="D20" s="9" t="s">
        <v>204</v>
      </c>
      <c r="E20" s="163">
        <v>25.5856805152061</v>
      </c>
      <c r="F20" s="164">
        <v>80.959739685058594</v>
      </c>
      <c r="G20" s="171">
        <v>0.1</v>
      </c>
      <c r="H20" s="31" t="str" cm="1">
        <f t="array" ref="H20">IF(ISNUMBER(SEARCH("; ",Z7)), TRIM(INDEX(_xlfn.TEXTSPLIT(Z7,"; "),1)), Z7)</f>
        <v>MiND33291MM-1</v>
      </c>
      <c r="I20" s="31" t="str" cm="1">
        <f t="array" ref="I20">IF(ISNUMBER(SEARCH("; ",Z7)), TRIM(INDEX(_xlfn.TEXTSPLIT(Z7,"; "),2)), "")</f>
        <v>NURG329077</v>
      </c>
      <c r="J20" s="9">
        <v>8</v>
      </c>
      <c r="K20" s="34" t="str">
        <v>10</v>
      </c>
      <c r="L20" s="34">
        <v>1</v>
      </c>
      <c r="M20" s="34">
        <v>0</v>
      </c>
      <c r="N20" s="34">
        <v>0</v>
      </c>
      <c r="O20" s="34">
        <v>0</v>
      </c>
      <c r="P20" s="9">
        <v>1</v>
      </c>
      <c r="Q20" s="37" cm="1">
        <f t="array" aca="1" ref="Q20" ca="1">_xlfn.LET(_xlpm.p,P20,_xlpm.e,E20,_xlpm.k,K20,_xlpm.b,INDEX($Y$54:$AJ$54,1,_xlpm.p),_xlpm.s,INDEX($Y$53:$AJ$53,1,_xlpm.p),IF(_xlpm.e="Undetermined","",IF(T20=1,"#N/A",IF(OR(_xlpm.p&lt;1,_xlpm.p&gt;12),"invalid std",_xlpm.k*10^((_xlpm.e-_xlpm.b)/_xlpm.s)))))</f>
        <v>9.3964233166421778</v>
      </c>
      <c r="R20" s="37">
        <f t="shared" ca="1" si="0"/>
        <v>10.233838313622755</v>
      </c>
      <c r="S20" s="37" t="str">
        <f t="shared" ca="1" si="1"/>
        <v/>
      </c>
      <c r="T20" s="9">
        <v>0</v>
      </c>
      <c r="U20" s="10"/>
      <c r="W20" s="43" t="s">
        <v>32</v>
      </c>
      <c r="X20" s="135" t="s">
        <v>157</v>
      </c>
      <c r="Y20" s="135" t="s">
        <v>157</v>
      </c>
      <c r="Z20" s="135" t="s">
        <v>157</v>
      </c>
      <c r="AA20" s="135" t="s">
        <v>157</v>
      </c>
      <c r="AB20" s="135" t="s">
        <v>156</v>
      </c>
      <c r="AC20" s="135" t="s">
        <v>156</v>
      </c>
      <c r="AD20" s="135" t="s">
        <v>157</v>
      </c>
      <c r="AE20" s="135" t="s">
        <v>157</v>
      </c>
      <c r="AF20" s="135" t="s">
        <v>157</v>
      </c>
      <c r="AG20" s="135" t="s">
        <v>157</v>
      </c>
      <c r="AH20" s="135" t="s">
        <v>157</v>
      </c>
      <c r="AI20" s="144" t="s">
        <v>157</v>
      </c>
      <c r="AK20" s="193"/>
    </row>
    <row r="21" spans="1:42" x14ac:dyDescent="0.25">
      <c r="A21" s="25">
        <v>16</v>
      </c>
      <c r="B21" s="156" t="s">
        <v>49</v>
      </c>
      <c r="C21" s="162" t="s">
        <v>203</v>
      </c>
      <c r="D21" s="9" t="s">
        <v>204</v>
      </c>
      <c r="E21" s="163">
        <v>25.351646324309801</v>
      </c>
      <c r="F21" s="164">
        <v>81.096984863281193</v>
      </c>
      <c r="G21" s="171">
        <v>0.1</v>
      </c>
      <c r="H21" s="31" t="str" cm="1">
        <f t="array" ref="H21">IF(ISNUMBER(SEARCH("; ",AA7)), TRIM(INDEX(_xlfn.TEXTSPLIT(AA7,"; "),1)), AA7)</f>
        <v>MiND33291MM-1</v>
      </c>
      <c r="I21" s="31" t="str" cm="1">
        <f t="array" ref="I21">IF(ISNUMBER(SEARCH("; ",AA7)), TRIM(INDEX(_xlfn.TEXTSPLIT(AA7,"; "),2)), "")</f>
        <v>NURG329077</v>
      </c>
      <c r="J21" s="9">
        <v>8</v>
      </c>
      <c r="K21" s="34" t="str">
        <v>10</v>
      </c>
      <c r="L21" s="34">
        <v>1</v>
      </c>
      <c r="M21" s="34">
        <v>0</v>
      </c>
      <c r="N21" s="34">
        <v>0</v>
      </c>
      <c r="O21" s="34">
        <v>0</v>
      </c>
      <c r="P21" s="9">
        <v>1</v>
      </c>
      <c r="Q21" s="37" cm="1">
        <f t="array" aca="1" ref="Q21" ca="1">_xlfn.LET(_xlpm.p,P21,_xlpm.e,E21,_xlpm.k,K21,_xlpm.b,INDEX($Y$54:$AJ$54,1,_xlpm.p),_xlpm.s,INDEX($Y$53:$AJ$53,1,_xlpm.p),IF(_xlpm.e="Undetermined","",IF(T21=1,"#N/A",IF(OR(_xlpm.p&lt;1,_xlpm.p&gt;12),"invalid std",_xlpm.k*10^((_xlpm.e-_xlpm.b)/_xlpm.s)))))</f>
        <v>11.07125331060333</v>
      </c>
      <c r="R21" s="37">
        <f t="shared" ca="1" si="0"/>
        <v>10.233838313622755</v>
      </c>
      <c r="S21" s="37" t="str">
        <f t="shared" ca="1" si="1"/>
        <v/>
      </c>
      <c r="T21" s="9">
        <v>0</v>
      </c>
      <c r="U21" s="10"/>
      <c r="W21" s="43" t="s">
        <v>34</v>
      </c>
      <c r="X21" s="135" t="s">
        <v>157</v>
      </c>
      <c r="Y21" s="135" t="s">
        <v>157</v>
      </c>
      <c r="Z21" s="135" t="s">
        <v>157</v>
      </c>
      <c r="AA21" s="135" t="s">
        <v>157</v>
      </c>
      <c r="AB21" s="135" t="s">
        <v>156</v>
      </c>
      <c r="AC21" s="135" t="s">
        <v>156</v>
      </c>
      <c r="AD21" s="135" t="s">
        <v>157</v>
      </c>
      <c r="AE21" s="135" t="s">
        <v>157</v>
      </c>
      <c r="AF21" s="135" t="s">
        <v>157</v>
      </c>
      <c r="AG21" s="135" t="s">
        <v>157</v>
      </c>
      <c r="AH21" s="135" t="s">
        <v>157</v>
      </c>
      <c r="AI21" s="144" t="s">
        <v>157</v>
      </c>
      <c r="AK21" s="193"/>
    </row>
    <row r="22" spans="1:42" x14ac:dyDescent="0.25">
      <c r="A22" s="25">
        <v>17</v>
      </c>
      <c r="B22" s="156" t="s">
        <v>50</v>
      </c>
      <c r="C22" s="162" t="s">
        <v>203</v>
      </c>
      <c r="D22" s="9" t="s">
        <v>204</v>
      </c>
      <c r="E22" s="163">
        <v>16.939424334495399</v>
      </c>
      <c r="F22" s="164">
        <v>80.918701171875</v>
      </c>
      <c r="G22" s="171">
        <v>0.1</v>
      </c>
      <c r="H22" s="31" t="str" cm="1">
        <f t="array" ref="H22">IF(ISNUMBER(SEARCH("; ",AB7)), TRIM(INDEX(_xlfn.TEXTSPLIT(AB7,"; "),1)), AB7)</f>
        <v>std1[400]_progen#62008</v>
      </c>
      <c r="I22" s="31" t="str" cm="1">
        <f t="array" ref="I22">IF(ISNUMBER(SEARCH("; ",AB7)), TRIM(INDEX(_xlfn.TEXTSPLIT(AB7,"; "),2)), "")</f>
        <v/>
      </c>
      <c r="J22" s="9">
        <v>9</v>
      </c>
      <c r="K22" s="34" t="str">
        <v>1</v>
      </c>
      <c r="L22" s="34">
        <v>1</v>
      </c>
      <c r="M22" s="34">
        <v>0</v>
      </c>
      <c r="N22" s="34">
        <v>0</v>
      </c>
      <c r="O22" s="34">
        <v>0</v>
      </c>
      <c r="P22" s="9">
        <v>1</v>
      </c>
      <c r="Q22" s="37" cm="1">
        <f t="array" aca="1" ref="Q22" ca="1">_xlfn.LET(_xlpm.p,P22,_xlpm.e,E22,_xlpm.k,K22,_xlpm.b,INDEX($Y$54:$AJ$54,1,_xlpm.p),_xlpm.s,INDEX($Y$53:$AJ$53,1,_xlpm.p),IF(_xlpm.e="Undetermined","",IF(T22=1,"#N/A",IF(OR(_xlpm.p&lt;1,_xlpm.p&gt;12),"invalid std",_xlpm.k*10^((_xlpm.e-_xlpm.b)/_xlpm.s)))))</f>
        <v>402.41012392723059</v>
      </c>
      <c r="R22" s="37">
        <f t="shared" ca="1" si="0"/>
        <v>403.3893609746749</v>
      </c>
      <c r="S22" s="37">
        <f t="shared" ca="1" si="1"/>
        <v>1.0060253098180765</v>
      </c>
      <c r="T22" s="9">
        <v>0</v>
      </c>
      <c r="U22" s="10"/>
      <c r="W22" s="43" t="s">
        <v>36</v>
      </c>
      <c r="X22" s="135" t="s">
        <v>157</v>
      </c>
      <c r="Y22" s="135" t="s">
        <v>157</v>
      </c>
      <c r="Z22" s="135" t="s">
        <v>157</v>
      </c>
      <c r="AA22" s="135" t="s">
        <v>157</v>
      </c>
      <c r="AB22" s="135" t="s">
        <v>156</v>
      </c>
      <c r="AC22" s="135" t="s">
        <v>156</v>
      </c>
      <c r="AD22" s="135" t="s">
        <v>157</v>
      </c>
      <c r="AE22" s="135" t="s">
        <v>157</v>
      </c>
      <c r="AF22" s="135" t="s">
        <v>157</v>
      </c>
      <c r="AG22" s="135" t="s">
        <v>157</v>
      </c>
      <c r="AH22" s="135" t="s">
        <v>157</v>
      </c>
      <c r="AI22" s="144" t="s">
        <v>157</v>
      </c>
      <c r="AK22" s="193"/>
    </row>
    <row r="23" spans="1:42" x14ac:dyDescent="0.25">
      <c r="A23" s="25">
        <v>18</v>
      </c>
      <c r="B23" s="156" t="s">
        <v>51</v>
      </c>
      <c r="C23" s="165" t="s">
        <v>203</v>
      </c>
      <c r="D23" s="166" t="s">
        <v>204</v>
      </c>
      <c r="E23" s="166">
        <v>16.9324969509947</v>
      </c>
      <c r="F23" s="164">
        <v>80.918701171875</v>
      </c>
      <c r="G23" s="171">
        <v>0.1</v>
      </c>
      <c r="H23" s="31" t="str" cm="1">
        <f t="array" ref="H23">IF(ISNUMBER(SEARCH("; ",AC7)), TRIM(INDEX(_xlfn.TEXTSPLIT(AC7,"; "),1)), AC7)</f>
        <v>std1[400]_progen#62008</v>
      </c>
      <c r="I23" s="31" t="str" cm="1">
        <f t="array" ref="I23">IF(ISNUMBER(SEARCH("; ",AC7)), TRIM(INDEX(_xlfn.TEXTSPLIT(AC7,"; "),2)), "")</f>
        <v/>
      </c>
      <c r="J23" s="9">
        <v>9</v>
      </c>
      <c r="K23" s="34" t="str">
        <v>1</v>
      </c>
      <c r="L23" s="34">
        <v>1</v>
      </c>
      <c r="M23" s="34">
        <v>0</v>
      </c>
      <c r="N23" s="34">
        <v>0</v>
      </c>
      <c r="O23" s="34">
        <v>0</v>
      </c>
      <c r="P23" s="9">
        <v>1</v>
      </c>
      <c r="Q23" s="37" cm="1">
        <f t="array" aca="1" ref="Q23" ca="1">_xlfn.LET(_xlpm.p,P23,_xlpm.e,E23,_xlpm.k,K23,_xlpm.b,INDEX($Y$54:$AJ$54,1,_xlpm.p),_xlpm.s,INDEX($Y$53:$AJ$53,1,_xlpm.p),IF(_xlpm.e="Undetermined","",IF(T23=1,"#N/A",IF(OR(_xlpm.p&lt;1,_xlpm.p&gt;12),"invalid std",_xlpm.k*10^((_xlpm.e-_xlpm.b)/_xlpm.s)))))</f>
        <v>404.36859802211922</v>
      </c>
      <c r="R23" s="37">
        <f t="shared" ca="1" si="0"/>
        <v>403.3893609746749</v>
      </c>
      <c r="S23" s="37">
        <f t="shared" ca="1" si="1"/>
        <v>1.010921495055298</v>
      </c>
      <c r="T23" s="9">
        <v>0</v>
      </c>
      <c r="U23" s="10"/>
      <c r="W23" s="43" t="s">
        <v>38</v>
      </c>
      <c r="X23" s="135" t="s">
        <v>157</v>
      </c>
      <c r="Y23" s="135" t="s">
        <v>157</v>
      </c>
      <c r="Z23" s="135" t="s">
        <v>157</v>
      </c>
      <c r="AA23" s="135" t="s">
        <v>157</v>
      </c>
      <c r="AB23" s="135" t="s">
        <v>156</v>
      </c>
      <c r="AC23" s="135" t="s">
        <v>156</v>
      </c>
      <c r="AD23" s="135" t="s">
        <v>157</v>
      </c>
      <c r="AE23" s="135" t="s">
        <v>157</v>
      </c>
      <c r="AF23" s="135" t="s">
        <v>157</v>
      </c>
      <c r="AG23" s="135" t="s">
        <v>157</v>
      </c>
      <c r="AH23" s="135" t="s">
        <v>157</v>
      </c>
      <c r="AI23" s="144" t="s">
        <v>157</v>
      </c>
      <c r="AK23" s="190"/>
    </row>
    <row r="24" spans="1:42" x14ac:dyDescent="0.25">
      <c r="A24" s="25">
        <v>19</v>
      </c>
      <c r="B24" s="156" t="s">
        <v>52</v>
      </c>
      <c r="C24" s="165" t="s">
        <v>203</v>
      </c>
      <c r="D24" s="166" t="s">
        <v>204</v>
      </c>
      <c r="E24" s="166">
        <v>25.056963920370201</v>
      </c>
      <c r="F24" s="164">
        <v>80.958518981933594</v>
      </c>
      <c r="G24" s="171">
        <v>0.1</v>
      </c>
      <c r="H24" s="31" t="str" cm="1">
        <f t="array" ref="H24">IF(ISNUMBER(SEARCH("; ",AD7)), TRIM(INDEX(_xlfn.TEXTSPLIT(AD7,"; "),1)), AD7)</f>
        <v>MiND33274PR-1</v>
      </c>
      <c r="I24" s="31" t="str" cm="1">
        <f t="array" ref="I24">IF(ISNUMBER(SEARCH("; ",AD7)), TRIM(INDEX(_xlfn.TEXTSPLIT(AD7,"; "),2)), "")</f>
        <v>NURF652765</v>
      </c>
      <c r="J24" s="9">
        <v>10</v>
      </c>
      <c r="K24" s="34" t="str">
        <v>10</v>
      </c>
      <c r="L24" s="34">
        <v>1</v>
      </c>
      <c r="M24" s="34">
        <v>0</v>
      </c>
      <c r="N24" s="34">
        <v>0</v>
      </c>
      <c r="O24" s="34">
        <v>0</v>
      </c>
      <c r="P24" s="9">
        <v>1</v>
      </c>
      <c r="Q24" s="37" cm="1">
        <f t="array" aca="1" ref="Q24" ca="1">_xlfn.LET(_xlpm.p,P24,_xlpm.e,E24,_xlpm.k,K24,_xlpm.b,INDEX($Y$54:$AJ$54,1,_xlpm.p),_xlpm.s,INDEX($Y$53:$AJ$53,1,_xlpm.p),IF(_xlpm.e="Undetermined","",IF(T24=1,"#N/A",IF(OR(_xlpm.p&lt;1,_xlpm.p&gt;12),"invalid std",_xlpm.k*10^((_xlpm.e-_xlpm.b)/_xlpm.s)))))</f>
        <v>13.611024502536665</v>
      </c>
      <c r="R24" s="37">
        <f t="shared" ca="1" si="0"/>
        <v>13.993263151306174</v>
      </c>
      <c r="S24" s="37" t="str">
        <f t="shared" ca="1" si="1"/>
        <v/>
      </c>
      <c r="T24" s="9">
        <v>0</v>
      </c>
      <c r="U24" s="10"/>
      <c r="W24" s="46" t="s">
        <v>40</v>
      </c>
      <c r="X24" s="173" t="s">
        <v>157</v>
      </c>
      <c r="Y24" s="173" t="s">
        <v>157</v>
      </c>
      <c r="Z24" s="173" t="s">
        <v>157</v>
      </c>
      <c r="AA24" s="173" t="s">
        <v>157</v>
      </c>
      <c r="AB24" s="173" t="s">
        <v>156</v>
      </c>
      <c r="AC24" s="173" t="s">
        <v>156</v>
      </c>
      <c r="AD24" s="173" t="s">
        <v>157</v>
      </c>
      <c r="AE24" s="173" t="s">
        <v>157</v>
      </c>
      <c r="AF24" s="173" t="s">
        <v>157</v>
      </c>
      <c r="AG24" s="173" t="s">
        <v>157</v>
      </c>
      <c r="AH24" s="173" t="s">
        <v>157</v>
      </c>
      <c r="AI24" s="174" t="s">
        <v>157</v>
      </c>
      <c r="AK24" s="193"/>
    </row>
    <row r="25" spans="1:42" x14ac:dyDescent="0.25">
      <c r="A25" s="25">
        <v>20</v>
      </c>
      <c r="B25" s="156" t="s">
        <v>53</v>
      </c>
      <c r="C25" s="162" t="s">
        <v>203</v>
      </c>
      <c r="D25" s="9" t="s">
        <v>204</v>
      </c>
      <c r="E25" s="163">
        <v>24.978993723601899</v>
      </c>
      <c r="F25" s="164">
        <v>81.095649719238196</v>
      </c>
      <c r="G25" s="171">
        <v>0.1</v>
      </c>
      <c r="H25" s="31" t="str" cm="1">
        <f t="array" ref="H25">IF(ISNUMBER(SEARCH("; ",AE7)), TRIM(INDEX(_xlfn.TEXTSPLIT(AE7,"; "),1)), AE7)</f>
        <v>MiND33274PR-1</v>
      </c>
      <c r="I25" s="31" t="str" cm="1">
        <f t="array" ref="I25">IF(ISNUMBER(SEARCH("; ",AE7)), TRIM(INDEX(_xlfn.TEXTSPLIT(AE7,"; "),2)), "")</f>
        <v>NURF652765</v>
      </c>
      <c r="J25" s="9">
        <v>10</v>
      </c>
      <c r="K25" s="34" t="str">
        <v>10</v>
      </c>
      <c r="L25" s="34">
        <v>1</v>
      </c>
      <c r="M25" s="34">
        <v>0</v>
      </c>
      <c r="N25" s="34">
        <v>0</v>
      </c>
      <c r="O25" s="34">
        <v>0</v>
      </c>
      <c r="P25" s="9">
        <v>1</v>
      </c>
      <c r="Q25" s="37" cm="1">
        <f t="array" aca="1" ref="Q25" ca="1">_xlfn.LET(_xlpm.p,P25,_xlpm.e,E25,_xlpm.k,K25,_xlpm.b,INDEX($Y$54:$AJ$54,1,_xlpm.p),_xlpm.s,INDEX($Y$53:$AJ$53,1,_xlpm.p),IF(_xlpm.e="Undetermined","",IF(T25=1,"#N/A",IF(OR(_xlpm.p&lt;1,_xlpm.p&gt;12),"invalid std",_xlpm.k*10^((_xlpm.e-_xlpm.b)/_xlpm.s)))))</f>
        <v>14.37550180007568</v>
      </c>
      <c r="R25" s="37">
        <f t="shared" ca="1" si="0"/>
        <v>13.993263151306174</v>
      </c>
      <c r="S25" s="37" t="str">
        <f t="shared" ca="1" si="1"/>
        <v/>
      </c>
      <c r="T25" s="9">
        <v>0</v>
      </c>
      <c r="U25" s="10"/>
      <c r="W25" s="90" t="s">
        <v>146</v>
      </c>
      <c r="X25" s="139"/>
      <c r="Y25" s="187"/>
      <c r="Z25" s="140"/>
      <c r="AA25" s="140"/>
      <c r="AB25" s="140"/>
      <c r="AC25" s="140"/>
      <c r="AD25" s="140"/>
      <c r="AE25" s="140"/>
      <c r="AF25" s="140"/>
      <c r="AG25" s="140"/>
      <c r="AH25" s="140"/>
      <c r="AI25" s="141"/>
      <c r="AK25" s="184"/>
    </row>
    <row r="26" spans="1:42" x14ac:dyDescent="0.25">
      <c r="A26" s="25">
        <v>21</v>
      </c>
      <c r="B26" s="156" t="s">
        <v>54</v>
      </c>
      <c r="C26" s="162" t="s">
        <v>203</v>
      </c>
      <c r="D26" s="9" t="s">
        <v>204</v>
      </c>
      <c r="E26" s="163">
        <v>25.195407256730299</v>
      </c>
      <c r="F26" s="164">
        <v>80.918106079101506</v>
      </c>
      <c r="G26" s="171">
        <v>0.1</v>
      </c>
      <c r="H26" s="31" t="str" cm="1">
        <f t="array" ref="H26">IF(ISNUMBER(SEARCH("; ",AF7)), TRIM(INDEX(_xlfn.TEXTSPLIT(AF7,"; "),1)), AF7)</f>
        <v>MiND12229IS-1</v>
      </c>
      <c r="I26" s="31" t="str" cm="1">
        <f t="array" ref="I26">IF(ISNUMBER(SEARCH("; ",AF7)), TRIM(INDEX(_xlfn.TEXTSPLIT(AF7,"; "),2)), "")</f>
        <v>NURG112501</v>
      </c>
      <c r="J26" s="9">
        <v>11</v>
      </c>
      <c r="K26" s="34" t="str">
        <v>10</v>
      </c>
      <c r="L26" s="34">
        <v>1</v>
      </c>
      <c r="M26" s="34">
        <v>0</v>
      </c>
      <c r="N26" s="34">
        <v>0</v>
      </c>
      <c r="O26" s="34">
        <v>0</v>
      </c>
      <c r="P26" s="9">
        <v>1</v>
      </c>
      <c r="Q26" s="37" cm="1">
        <f t="array" aca="1" ref="Q26" ca="1">_xlfn.LET(_xlpm.p,P26,_xlpm.e,E26,_xlpm.k,K26,_xlpm.b,INDEX($Y$54:$AJ$54,1,_xlpm.p),_xlpm.s,INDEX($Y$53:$AJ$53,1,_xlpm.p),IF(_xlpm.e="Undetermined","",IF(T26=1,"#N/A",IF(OR(_xlpm.p&lt;1,_xlpm.p&gt;12),"invalid std",_xlpm.k*10^((_xlpm.e-_xlpm.b)/_xlpm.s)))))</f>
        <v>12.352421189019672</v>
      </c>
      <c r="R26" s="37">
        <f t="shared" ca="1" si="0"/>
        <v>12.044955891625261</v>
      </c>
      <c r="S26" s="37" t="str">
        <f t="shared" ca="1" si="1"/>
        <v/>
      </c>
      <c r="T26" s="9">
        <v>0</v>
      </c>
      <c r="U26" s="10"/>
      <c r="W26" s="91" t="s">
        <v>147</v>
      </c>
      <c r="X26" s="142"/>
      <c r="Y26" s="188"/>
      <c r="Z26" s="143"/>
      <c r="AA26" s="143"/>
      <c r="AB26" s="143"/>
      <c r="AC26" s="143"/>
      <c r="AD26" s="143"/>
      <c r="AE26" s="143"/>
      <c r="AF26" s="143"/>
      <c r="AG26" s="143"/>
      <c r="AH26" s="143"/>
      <c r="AI26" s="94"/>
      <c r="AK26" s="184"/>
    </row>
    <row r="27" spans="1:42" x14ac:dyDescent="0.25">
      <c r="A27" s="25">
        <v>22</v>
      </c>
      <c r="B27" s="156" t="s">
        <v>55</v>
      </c>
      <c r="C27" s="162" t="s">
        <v>203</v>
      </c>
      <c r="D27" s="9" t="s">
        <v>204</v>
      </c>
      <c r="E27" s="163">
        <v>25.268267434919501</v>
      </c>
      <c r="F27" s="164">
        <v>80.918106079101506</v>
      </c>
      <c r="G27" s="171">
        <v>0.1</v>
      </c>
      <c r="H27" s="31" t="str" cm="1">
        <f t="array" ref="H27">IF(ISNUMBER(SEARCH("; ",AG7)), TRIM(INDEX(_xlfn.TEXTSPLIT(AG7,"; "),1)), AG7)</f>
        <v>MiND12229IS-1</v>
      </c>
      <c r="I27" s="31" t="str" cm="1">
        <f t="array" ref="I27">IF(ISNUMBER(SEARCH("; ",AG7)), TRIM(INDEX(_xlfn.TEXTSPLIT(AG7,"; "),2)), "")</f>
        <v>NURG112501</v>
      </c>
      <c r="J27" s="9">
        <v>11</v>
      </c>
      <c r="K27" s="34" t="str">
        <v>10</v>
      </c>
      <c r="L27" s="34">
        <v>1</v>
      </c>
      <c r="M27" s="34">
        <v>0</v>
      </c>
      <c r="N27" s="34">
        <v>0</v>
      </c>
      <c r="O27" s="34">
        <v>0</v>
      </c>
      <c r="P27" s="9">
        <v>1</v>
      </c>
      <c r="Q27" s="37" cm="1">
        <f t="array" aca="1" ref="Q27" ca="1">_xlfn.LET(_xlpm.p,P27,_xlpm.e,E27,_xlpm.k,K27,_xlpm.b,INDEX($Y$54:$AJ$54,1,_xlpm.p),_xlpm.s,INDEX($Y$53:$AJ$53,1,_xlpm.p),IF(_xlpm.e="Undetermined","",IF(T27=1,"#N/A",IF(OR(_xlpm.p&lt;1,_xlpm.p&gt;12),"invalid std",_xlpm.k*10^((_xlpm.e-_xlpm.b)/_xlpm.s)))))</f>
        <v>11.737490594230851</v>
      </c>
      <c r="R27" s="37">
        <f t="shared" ca="1" si="0"/>
        <v>12.044955891625261</v>
      </c>
      <c r="S27" s="37" t="str">
        <f t="shared" ca="1" si="1"/>
        <v/>
      </c>
      <c r="T27" s="9">
        <v>0</v>
      </c>
      <c r="U27" s="10"/>
      <c r="W27" s="91" t="s">
        <v>148</v>
      </c>
      <c r="X27" s="142"/>
      <c r="Y27" s="188"/>
      <c r="Z27" s="143"/>
      <c r="AA27" s="143"/>
      <c r="AB27" s="143"/>
      <c r="AC27" s="143"/>
      <c r="AD27" s="143"/>
      <c r="AE27" s="143"/>
      <c r="AF27" s="143"/>
      <c r="AG27" s="143"/>
      <c r="AH27" s="143"/>
      <c r="AI27" s="94"/>
      <c r="AK27" s="194"/>
    </row>
    <row r="28" spans="1:42" x14ac:dyDescent="0.25">
      <c r="A28" s="25">
        <v>23</v>
      </c>
      <c r="B28" s="156" t="s">
        <v>56</v>
      </c>
      <c r="C28" s="165" t="s">
        <v>203</v>
      </c>
      <c r="D28" s="166" t="s">
        <v>204</v>
      </c>
      <c r="E28" s="166">
        <v>21.971603975439301</v>
      </c>
      <c r="F28" s="164">
        <v>80.902000427246094</v>
      </c>
      <c r="G28" s="171">
        <v>0.1</v>
      </c>
      <c r="H28" s="31" t="str" cm="1">
        <f t="array" ref="H28">IF(ISNUMBER(SEARCH("; ",AH7)), TRIM(INDEX(_xlfn.TEXTSPLIT(AH7,"; "),1)), AH7)</f>
        <v>NFL-QC-H</v>
      </c>
      <c r="I28" s="31" t="str" cm="1">
        <f t="array" ref="I28">IF(ISNUMBER(SEARCH("; ",AH7)), TRIM(INDEX(_xlfn.TEXTSPLIT(AH7,"; "),2)), "")</f>
        <v/>
      </c>
      <c r="J28" s="9">
        <v>12</v>
      </c>
      <c r="K28" s="34" t="str">
        <v>10</v>
      </c>
      <c r="L28" s="34">
        <v>1</v>
      </c>
      <c r="M28" s="34">
        <v>0</v>
      </c>
      <c r="N28" s="34">
        <v>0</v>
      </c>
      <c r="O28" s="34">
        <v>0</v>
      </c>
      <c r="P28" s="9">
        <v>1</v>
      </c>
      <c r="Q28" s="37" cm="1">
        <f t="array" aca="1" ref="Q28" ca="1">_xlfn.LET(_xlpm.p,P28,_xlpm.e,E28,_xlpm.k,K28,_xlpm.b,INDEX($Y$54:$AJ$54,1,_xlpm.p),_xlpm.s,INDEX($Y$53:$AJ$53,1,_xlpm.p),IF(_xlpm.e="Undetermined","",IF(T28=1,"#N/A",IF(OR(_xlpm.p&lt;1,_xlpm.p&gt;12),"invalid std",_xlpm.k*10^((_xlpm.e-_xlpm.b)/_xlpm.s)))))</f>
        <v>118.30361027120432</v>
      </c>
      <c r="R28" s="37">
        <f t="shared" ca="1" si="0"/>
        <v>111.46353556071895</v>
      </c>
      <c r="S28" s="37" t="str">
        <f t="shared" ca="1" si="1"/>
        <v/>
      </c>
      <c r="T28" s="9">
        <v>0</v>
      </c>
      <c r="U28" s="10"/>
      <c r="W28" s="92" t="s">
        <v>149</v>
      </c>
      <c r="X28" s="93"/>
      <c r="Y28" s="189"/>
      <c r="Z28" s="95"/>
      <c r="AA28" s="95"/>
      <c r="AB28" s="95"/>
      <c r="AC28" s="95"/>
      <c r="AD28" s="95"/>
      <c r="AE28" s="95"/>
      <c r="AF28" s="95"/>
      <c r="AG28" s="95"/>
      <c r="AH28" s="95"/>
      <c r="AI28" s="96"/>
      <c r="AK28" s="195"/>
      <c r="AL28" s="1"/>
      <c r="AM28" s="1"/>
      <c r="AN28" s="1"/>
      <c r="AO28" s="1"/>
      <c r="AP28" s="1"/>
    </row>
    <row r="29" spans="1:42" x14ac:dyDescent="0.25">
      <c r="A29" s="25">
        <v>24</v>
      </c>
      <c r="B29" s="157" t="s">
        <v>57</v>
      </c>
      <c r="C29" s="167" t="s">
        <v>203</v>
      </c>
      <c r="D29" s="168" t="s">
        <v>204</v>
      </c>
      <c r="E29" s="168">
        <v>22.146943190617002</v>
      </c>
      <c r="F29" s="169">
        <v>80.902000427246094</v>
      </c>
      <c r="G29" s="172">
        <v>0.1</v>
      </c>
      <c r="H29" s="32" t="str" cm="1">
        <f t="array" ref="H29">IF(ISNUMBER(SEARCH("; ",AI7)), TRIM(INDEX(_xlfn.TEXTSPLIT(AI7,"; "),1)), AI7)</f>
        <v>NFL-QC-H</v>
      </c>
      <c r="I29" s="32" t="str" cm="1">
        <f t="array" ref="I29">IF(ISNUMBER(SEARCH("; ",AI7)), TRIM(INDEX(_xlfn.TEXTSPLIT(AI7,"; "),2)), "")</f>
        <v/>
      </c>
      <c r="J29" s="11">
        <v>12</v>
      </c>
      <c r="K29" s="35" t="str">
        <v>10</v>
      </c>
      <c r="L29" s="35">
        <v>1</v>
      </c>
      <c r="M29" s="35">
        <v>0</v>
      </c>
      <c r="N29" s="35">
        <v>0</v>
      </c>
      <c r="O29" s="35">
        <v>0</v>
      </c>
      <c r="P29" s="11">
        <v>1</v>
      </c>
      <c r="Q29" s="38" cm="1">
        <f t="array" aca="1" ref="Q29" ca="1">_xlfn.LET(_xlpm.p,P29,_xlpm.e,E29,_xlpm.k,K29,_xlpm.b,INDEX($Y$54:$AJ$54,1,_xlpm.p),_xlpm.s,INDEX($Y$53:$AJ$53,1,_xlpm.p),IF(_xlpm.e="Undetermined","",IF(T29=1,"#N/A",IF(OR(_xlpm.p&lt;1,_xlpm.p&gt;12),"invalid std",_xlpm.k*10^((_xlpm.e-_xlpm.b)/_xlpm.s)))))</f>
        <v>104.62346085023357</v>
      </c>
      <c r="R29" s="38">
        <f t="shared" ca="1" si="0"/>
        <v>111.46353556071895</v>
      </c>
      <c r="S29" s="38" t="str">
        <f t="shared" ca="1" si="1"/>
        <v/>
      </c>
      <c r="T29" s="11">
        <v>0</v>
      </c>
      <c r="U29" s="12"/>
      <c r="AK29" s="195"/>
      <c r="AL29" s="1"/>
      <c r="AM29" s="1"/>
      <c r="AN29" s="1"/>
      <c r="AO29" s="1"/>
      <c r="AP29" s="1"/>
    </row>
    <row r="30" spans="1:42" x14ac:dyDescent="0.25">
      <c r="A30" s="24">
        <v>25</v>
      </c>
      <c r="B30" s="156" t="s">
        <v>58</v>
      </c>
      <c r="C30" s="162" t="s">
        <v>203</v>
      </c>
      <c r="D30" s="9" t="s">
        <v>204</v>
      </c>
      <c r="E30" s="163">
        <v>24.3582902447762</v>
      </c>
      <c r="F30" s="164">
        <v>80.940422058105398</v>
      </c>
      <c r="G30" s="8">
        <v>0.1</v>
      </c>
      <c r="H30" s="31" t="str" cm="1">
        <f t="array" ref="H30">IF(ISNUMBER(SEARCH("; ",X8)), TRIM(INDEX(_xlfn.TEXTSPLIT(X8,"; "),1)), X8)</f>
        <v>NFL-QC-M</v>
      </c>
      <c r="I30" s="31" t="str" cm="1">
        <f t="array" ref="I30">IF(ISNUMBER(SEARCH("; ",X8)), TRIM(INDEX(_xlfn.TEXTSPLIT(X8,"; "),2)), "")</f>
        <v/>
      </c>
      <c r="J30" s="9">
        <v>13</v>
      </c>
      <c r="K30" s="34" t="str" cm="1">
        <f t="array" ref="K30:K41">TRANSPOSE(RIGHT(LEFT(X19:AI19,FIND(";",X19:AI19)-1),LEN(LEFT(X19:AI19,FIND(";",X19:AI19)-1))-1))</f>
        <v>10</v>
      </c>
      <c r="L30" s="34" cm="1">
        <f t="array" ref="L30:L41">TRANSPOSE(IF(ISNUMBER(SEARCH("v1",X19:AI19)),1,0))</f>
        <v>1</v>
      </c>
      <c r="M30" s="34" cm="1">
        <f t="array" ref="M30:M41">TRANSPOSE(IF(ISNUMBER(SEARCH("v2",X19:AI19)),1,0))</f>
        <v>0</v>
      </c>
      <c r="N30" s="34" cm="1">
        <f t="array" ref="N30:N41">TRANSPOSE(IF(ISNUMBER(SEARCH("v3",X19:AI19)),1,0))</f>
        <v>0</v>
      </c>
      <c r="O30" s="34" cm="1">
        <f t="array" ref="O30:O41">TRANSPOSE(IF(ISNUMBER(SEARCH("v4",X19:AI19)),1,0))</f>
        <v>0</v>
      </c>
      <c r="P30" s="9">
        <v>1</v>
      </c>
      <c r="Q30" s="37" cm="1">
        <f t="array" aca="1" ref="Q30" ca="1">_xlfn.LET(_xlpm.p,P30,_xlpm.e,E30,_xlpm.k,K30,_xlpm.b,INDEX($Y$54:$AJ$54,1,_xlpm.p),_xlpm.s,INDEX($Y$53:$AJ$53,1,_xlpm.p),IF(_xlpm.e="Undetermined","",IF(T30=1,"#N/A",IF(OR(_xlpm.p&lt;1,_xlpm.p&gt;12),"invalid std",_xlpm.k*10^((_xlpm.e-_xlpm.b)/_xlpm.s)))))</f>
        <v>22.210062744633802</v>
      </c>
      <c r="R30" s="37">
        <f t="shared" ca="1" si="0"/>
        <v>23.09874368193497</v>
      </c>
      <c r="S30" s="37" t="str">
        <f t="shared" ca="1" si="1"/>
        <v/>
      </c>
      <c r="T30" s="9">
        <v>0</v>
      </c>
      <c r="U30" s="10"/>
      <c r="W30" s="39" t="s">
        <v>59</v>
      </c>
      <c r="AK30" s="195"/>
      <c r="AL30" s="1"/>
      <c r="AM30" s="1"/>
      <c r="AN30" s="1"/>
      <c r="AO30" s="1"/>
      <c r="AP30" s="1"/>
    </row>
    <row r="31" spans="1:42" x14ac:dyDescent="0.25">
      <c r="A31" s="25">
        <v>26</v>
      </c>
      <c r="B31" s="156" t="s">
        <v>60</v>
      </c>
      <c r="C31" s="162" t="s">
        <v>203</v>
      </c>
      <c r="D31" s="9" t="s">
        <v>204</v>
      </c>
      <c r="E31" s="163">
        <v>24.248446102375301</v>
      </c>
      <c r="F31" s="164">
        <v>80.940422058105398</v>
      </c>
      <c r="G31" s="8">
        <v>0.1</v>
      </c>
      <c r="H31" s="31" t="str" cm="1">
        <f t="array" ref="H31">IF(ISNUMBER(SEARCH("; ",Y8)), TRIM(INDEX(_xlfn.TEXTSPLIT(Y8,"; "),1)), Y8)</f>
        <v>NFL-QC-M</v>
      </c>
      <c r="I31" s="31" t="str" cm="1">
        <f t="array" ref="I31">IF(ISNUMBER(SEARCH("; ",Y8)), TRIM(INDEX(_xlfn.TEXTSPLIT(Y8,"; "),2)), "")</f>
        <v/>
      </c>
      <c r="J31" s="9">
        <v>13</v>
      </c>
      <c r="K31" s="34" t="str">
        <v>10</v>
      </c>
      <c r="L31" s="34">
        <v>1</v>
      </c>
      <c r="M31" s="34">
        <v>0</v>
      </c>
      <c r="N31" s="34">
        <v>0</v>
      </c>
      <c r="O31" s="34">
        <v>0</v>
      </c>
      <c r="P31" s="9">
        <v>1</v>
      </c>
      <c r="Q31" s="37" cm="1">
        <f t="array" aca="1" ref="Q31" ca="1">_xlfn.LET(_xlpm.p,P31,_xlpm.e,E31,_xlpm.k,K31,_xlpm.b,INDEX($Y$54:$AJ$54,1,_xlpm.p),_xlpm.s,INDEX($Y$53:$AJ$53,1,_xlpm.p),IF(_xlpm.e="Undetermined","",IF(T31=1,"#N/A",IF(OR(_xlpm.p&lt;1,_xlpm.p&gt;12),"invalid std",_xlpm.k*10^((_xlpm.e-_xlpm.b)/_xlpm.s)))))</f>
        <v>23.98742461923614</v>
      </c>
      <c r="R31" s="37">
        <f t="shared" ca="1" si="0"/>
        <v>23.09874368193497</v>
      </c>
      <c r="S31" s="37" t="str">
        <f t="shared" ca="1" si="1"/>
        <v/>
      </c>
      <c r="T31" s="9">
        <v>0</v>
      </c>
      <c r="U31" s="10"/>
      <c r="W31" s="40" t="s">
        <v>61</v>
      </c>
      <c r="X31" s="41">
        <v>1</v>
      </c>
      <c r="Y31" s="41">
        <v>2</v>
      </c>
      <c r="Z31" s="40">
        <v>3</v>
      </c>
      <c r="AA31" s="42">
        <v>4</v>
      </c>
      <c r="AB31" s="41">
        <v>5</v>
      </c>
      <c r="AC31" s="41">
        <v>6</v>
      </c>
      <c r="AD31" s="40">
        <v>7</v>
      </c>
      <c r="AE31" s="42">
        <v>8</v>
      </c>
      <c r="AF31" s="41">
        <v>9</v>
      </c>
      <c r="AG31" s="41">
        <v>10</v>
      </c>
      <c r="AH31" s="40">
        <v>11</v>
      </c>
      <c r="AI31" s="42">
        <v>12</v>
      </c>
      <c r="AK31" s="195"/>
      <c r="AL31" s="1"/>
      <c r="AM31" s="1"/>
      <c r="AN31" s="1"/>
      <c r="AO31" s="1"/>
      <c r="AP31" s="1"/>
    </row>
    <row r="32" spans="1:42" x14ac:dyDescent="0.25">
      <c r="A32" s="25">
        <v>27</v>
      </c>
      <c r="B32" s="156" t="s">
        <v>62</v>
      </c>
      <c r="C32" s="162" t="s">
        <v>203</v>
      </c>
      <c r="D32" s="9" t="s">
        <v>204</v>
      </c>
      <c r="E32" s="163">
        <v>25.2158619298256</v>
      </c>
      <c r="F32" s="164">
        <v>80.959739685058594</v>
      </c>
      <c r="G32" s="8">
        <v>0.1</v>
      </c>
      <c r="H32" s="31" t="str" cm="1">
        <f t="array" ref="H32">IF(ISNUMBER(SEARCH("; ",Z8)), TRIM(INDEX(_xlfn.TEXTSPLIT(Z8,"; "),1)), Z8)</f>
        <v>MiND33254AW-1</v>
      </c>
      <c r="I32" s="31" t="str" cm="1">
        <f t="array" ref="I32">IF(ISNUMBER(SEARCH("; ",Z8)), TRIM(INDEX(_xlfn.TEXTSPLIT(Z8,"; "),2)), "")</f>
        <v>NURG329554</v>
      </c>
      <c r="J32" s="9">
        <v>14</v>
      </c>
      <c r="K32" s="34" t="str">
        <v>10</v>
      </c>
      <c r="L32" s="34">
        <v>1</v>
      </c>
      <c r="M32" s="34">
        <v>0</v>
      </c>
      <c r="N32" s="34">
        <v>0</v>
      </c>
      <c r="O32" s="34">
        <v>0</v>
      </c>
      <c r="P32" s="9">
        <v>1</v>
      </c>
      <c r="Q32" s="37" cm="1">
        <f t="array" aca="1" ref="Q32" ca="1">_xlfn.LET(_xlpm.p,P32,_xlpm.e,E32,_xlpm.k,K32,_xlpm.b,INDEX($Y$54:$AJ$54,1,_xlpm.p),_xlpm.s,INDEX($Y$53:$AJ$53,1,_xlpm.p),IF(_xlpm.e="Undetermined","",IF(T32=1,"#N/A",IF(OR(_xlpm.p&lt;1,_xlpm.p&gt;12),"invalid std",_xlpm.k*10^((_xlpm.e-_xlpm.b)/_xlpm.s)))))</f>
        <v>12.176604369619524</v>
      </c>
      <c r="R32" s="37">
        <f t="shared" ca="1" si="0"/>
        <v>12.243471933181674</v>
      </c>
      <c r="S32" s="37" t="str">
        <f t="shared" ca="1" si="1"/>
        <v/>
      </c>
      <c r="T32" s="9">
        <v>0</v>
      </c>
      <c r="U32" s="10"/>
      <c r="W32" s="43" t="s">
        <v>26</v>
      </c>
      <c r="X32" s="81" cm="1">
        <f t="array" ref="X32:AI32">TRANSPOSE(E6:E17)</f>
        <v>22.374752813799201</v>
      </c>
      <c r="Y32" s="82">
        <v>22.257284299982899</v>
      </c>
      <c r="Z32" s="82">
        <v>25.3566011265269</v>
      </c>
      <c r="AA32" s="82">
        <v>25.291919567010101</v>
      </c>
      <c r="AB32" s="82">
        <v>14.5754814886751</v>
      </c>
      <c r="AC32" s="82">
        <v>14.651827846953701</v>
      </c>
      <c r="AD32" s="82">
        <v>24.325865064544001</v>
      </c>
      <c r="AE32" s="82">
        <v>24.695650036478</v>
      </c>
      <c r="AF32" s="82">
        <v>26.150840122598201</v>
      </c>
      <c r="AG32" s="82">
        <v>26.195498357746299</v>
      </c>
      <c r="AH32" s="82">
        <v>24.375687556756201</v>
      </c>
      <c r="AI32" s="83">
        <v>24.557170490771099</v>
      </c>
      <c r="AK32" s="195"/>
      <c r="AL32" s="1"/>
      <c r="AM32" s="1"/>
      <c r="AN32" s="1"/>
      <c r="AO32" s="1"/>
      <c r="AP32" s="1"/>
    </row>
    <row r="33" spans="1:42" x14ac:dyDescent="0.25">
      <c r="A33" s="25">
        <v>28</v>
      </c>
      <c r="B33" s="156" t="s">
        <v>63</v>
      </c>
      <c r="C33" s="162" t="s">
        <v>203</v>
      </c>
      <c r="D33" s="9" t="s">
        <v>204</v>
      </c>
      <c r="E33" s="163">
        <v>25.200276448854499</v>
      </c>
      <c r="F33" s="164">
        <v>80.959739685058594</v>
      </c>
      <c r="G33" s="8">
        <v>0.1</v>
      </c>
      <c r="H33" s="31" t="str" cm="1">
        <f t="array" ref="H33">IF(ISNUMBER(SEARCH("; ",AA8)), TRIM(INDEX(_xlfn.TEXTSPLIT(AA8,"; "),1)), AA8)</f>
        <v>MiND33254AW-1</v>
      </c>
      <c r="I33" s="31" t="str" cm="1">
        <f t="array" ref="I33">IF(ISNUMBER(SEARCH("; ",AA8)), TRIM(INDEX(_xlfn.TEXTSPLIT(AA8,"; "),2)), "")</f>
        <v>NURG329554</v>
      </c>
      <c r="J33" s="9">
        <v>14</v>
      </c>
      <c r="K33" s="34" t="str">
        <v>10</v>
      </c>
      <c r="L33" s="34">
        <v>1</v>
      </c>
      <c r="M33" s="34">
        <v>0</v>
      </c>
      <c r="N33" s="34">
        <v>0</v>
      </c>
      <c r="O33" s="34">
        <v>0</v>
      </c>
      <c r="P33" s="9">
        <v>1</v>
      </c>
      <c r="Q33" s="37" cm="1">
        <f t="array" aca="1" ref="Q33" ca="1">_xlfn.LET(_xlpm.p,P33,_xlpm.e,E33,_xlpm.k,K33,_xlpm.b,INDEX($Y$54:$AJ$54,1,_xlpm.p),_xlpm.s,INDEX($Y$53:$AJ$53,1,_xlpm.p),IF(_xlpm.e="Undetermined","",IF(T33=1,"#N/A",IF(OR(_xlpm.p&lt;1,_xlpm.p&gt;12),"invalid std",_xlpm.k*10^((_xlpm.e-_xlpm.b)/_xlpm.s)))))</f>
        <v>12.310339496743822</v>
      </c>
      <c r="R33" s="37">
        <f t="shared" ca="1" si="0"/>
        <v>12.243471933181674</v>
      </c>
      <c r="S33" s="37" t="str">
        <f t="shared" ca="1" si="1"/>
        <v/>
      </c>
      <c r="T33" s="9">
        <v>0</v>
      </c>
      <c r="U33" s="10"/>
      <c r="W33" s="70" t="s">
        <v>28</v>
      </c>
      <c r="X33" s="84" cm="1">
        <f t="array" ref="X33:AI33">TRANSPOSE(E18:E29)</f>
        <v>26.0336786481822</v>
      </c>
      <c r="Y33" s="85">
        <v>25.796536409949901</v>
      </c>
      <c r="Z33" s="85">
        <v>25.5856805152061</v>
      </c>
      <c r="AA33" s="85">
        <v>25.351646324309801</v>
      </c>
      <c r="AB33" s="85">
        <v>16.939424334495399</v>
      </c>
      <c r="AC33" s="85">
        <v>16.9324969509947</v>
      </c>
      <c r="AD33" s="85">
        <v>25.056963920370201</v>
      </c>
      <c r="AE33" s="85">
        <v>24.978993723601899</v>
      </c>
      <c r="AF33" s="85">
        <v>25.195407256730299</v>
      </c>
      <c r="AG33" s="85">
        <v>25.268267434919501</v>
      </c>
      <c r="AH33" s="85">
        <v>21.971603975439301</v>
      </c>
      <c r="AI33" s="86">
        <v>22.146943190617002</v>
      </c>
      <c r="AK33" s="196"/>
      <c r="AL33" s="133"/>
      <c r="AM33" s="133"/>
      <c r="AN33" s="133"/>
      <c r="AO33" s="133"/>
      <c r="AP33" s="133"/>
    </row>
    <row r="34" spans="1:42" x14ac:dyDescent="0.25">
      <c r="A34" s="25">
        <v>29</v>
      </c>
      <c r="B34" s="156" t="s">
        <v>64</v>
      </c>
      <c r="C34" s="162" t="s">
        <v>203</v>
      </c>
      <c r="D34" s="9" t="s">
        <v>204</v>
      </c>
      <c r="E34" s="163">
        <v>19.228212214492899</v>
      </c>
      <c r="F34" s="164">
        <v>80.918701171875</v>
      </c>
      <c r="G34" s="8">
        <v>0.1</v>
      </c>
      <c r="H34" s="31" t="str" cm="1">
        <f t="array" ref="H34">IF(ISNUMBER(SEARCH("; ",AB8)), TRIM(INDEX(_xlfn.TEXTSPLIT(AB8,"; "),1)), AB8)</f>
        <v>std1[80]_progen#62008</v>
      </c>
      <c r="I34" s="31" t="str" cm="1">
        <f t="array" ref="I34">IF(ISNUMBER(SEARCH("; ",AB8)), TRIM(INDEX(_xlfn.TEXTSPLIT(AB8,"; "),2)), "")</f>
        <v/>
      </c>
      <c r="J34" s="9">
        <v>15</v>
      </c>
      <c r="K34" s="34" t="str">
        <v>1</v>
      </c>
      <c r="L34" s="34">
        <v>1</v>
      </c>
      <c r="M34" s="34">
        <v>0</v>
      </c>
      <c r="N34" s="34">
        <v>0</v>
      </c>
      <c r="O34" s="34">
        <v>0</v>
      </c>
      <c r="P34" s="9">
        <v>1</v>
      </c>
      <c r="Q34" s="37" cm="1">
        <f t="array" aca="1" ref="Q34" ca="1">_xlfn.LET(_xlpm.p,P34,_xlpm.e,E34,_xlpm.k,K34,_xlpm.b,INDEX($Y$54:$AJ$54,1,_xlpm.p),_xlpm.s,INDEX($Y$53:$AJ$53,1,_xlpm.p),IF(_xlpm.e="Undetermined","",IF(T34=1,"#N/A",IF(OR(_xlpm.p&lt;1,_xlpm.p&gt;12),"invalid std",_xlpm.k*10^((_xlpm.e-_xlpm.b)/_xlpm.s)))))</f>
        <v>80.913042442449083</v>
      </c>
      <c r="R34" s="37">
        <f t="shared" ca="1" si="0"/>
        <v>79.909133687729053</v>
      </c>
      <c r="S34" s="37">
        <f t="shared" ca="1" si="1"/>
        <v>1.0114130305306135</v>
      </c>
      <c r="T34" s="9">
        <v>0</v>
      </c>
      <c r="U34" s="10"/>
      <c r="W34" s="43" t="s">
        <v>30</v>
      </c>
      <c r="X34" s="84" cm="1">
        <f t="array" ref="X34:AI34">TRANSPOSE(E30:E41)</f>
        <v>24.3582902447762</v>
      </c>
      <c r="Y34" s="85">
        <v>24.248446102375301</v>
      </c>
      <c r="Z34" s="85">
        <v>25.2158619298256</v>
      </c>
      <c r="AA34" s="85">
        <v>25.200276448854499</v>
      </c>
      <c r="AB34" s="85">
        <v>19.228212214492899</v>
      </c>
      <c r="AC34" s="85">
        <v>19.264065226885499</v>
      </c>
      <c r="AD34" s="85">
        <v>25.8553257661098</v>
      </c>
      <c r="AE34" s="85">
        <v>25.7846009342604</v>
      </c>
      <c r="AF34" s="85">
        <v>23.563762530088599</v>
      </c>
      <c r="AG34" s="85">
        <v>23.699702327968801</v>
      </c>
      <c r="AH34" s="85">
        <v>25.858017463799499</v>
      </c>
      <c r="AI34" s="86">
        <v>26.020829982476702</v>
      </c>
      <c r="AK34" s="195"/>
      <c r="AL34" s="1"/>
      <c r="AM34" s="1"/>
      <c r="AN34" s="1"/>
      <c r="AO34" s="133"/>
      <c r="AP34" s="133"/>
    </row>
    <row r="35" spans="1:42" x14ac:dyDescent="0.25">
      <c r="A35" s="25">
        <v>30</v>
      </c>
      <c r="B35" s="156" t="s">
        <v>65</v>
      </c>
      <c r="C35" s="165" t="s">
        <v>203</v>
      </c>
      <c r="D35" s="166" t="s">
        <v>204</v>
      </c>
      <c r="E35" s="166">
        <v>19.264065226885499</v>
      </c>
      <c r="F35" s="164">
        <v>80.918701171875</v>
      </c>
      <c r="G35" s="8">
        <v>0.1</v>
      </c>
      <c r="H35" s="31" t="str" cm="1">
        <f t="array" ref="H35">IF(ISNUMBER(SEARCH("; ",AC8)), TRIM(INDEX(_xlfn.TEXTSPLIT(AC8,"; "),1)), AC8)</f>
        <v>std1[80]_progen#62008</v>
      </c>
      <c r="I35" s="31" t="str" cm="1">
        <f t="array" ref="I35">IF(ISNUMBER(SEARCH("; ",AC8)), TRIM(INDEX(_xlfn.TEXTSPLIT(AC8,"; "),2)), "")</f>
        <v/>
      </c>
      <c r="J35" s="9">
        <v>15</v>
      </c>
      <c r="K35" s="34" t="str">
        <v>1</v>
      </c>
      <c r="L35" s="34">
        <v>1</v>
      </c>
      <c r="M35" s="34">
        <v>0</v>
      </c>
      <c r="N35" s="34">
        <v>0</v>
      </c>
      <c r="O35" s="34">
        <v>0</v>
      </c>
      <c r="P35" s="9">
        <v>1</v>
      </c>
      <c r="Q35" s="37" cm="1">
        <f t="array" aca="1" ref="Q35" ca="1">_xlfn.LET(_xlpm.p,P35,_xlpm.e,E35,_xlpm.k,K35,_xlpm.b,INDEX($Y$54:$AJ$54,1,_xlpm.p),_xlpm.s,INDEX($Y$53:$AJ$53,1,_xlpm.p),IF(_xlpm.e="Undetermined","",IF(T35=1,"#N/A",IF(OR(_xlpm.p&lt;1,_xlpm.p&gt;12),"invalid std",_xlpm.k*10^((_xlpm.e-_xlpm.b)/_xlpm.s)))))</f>
        <v>78.905224933009023</v>
      </c>
      <c r="R35" s="37">
        <f t="shared" ca="1" si="0"/>
        <v>79.909133687729053</v>
      </c>
      <c r="S35" s="37">
        <f t="shared" ca="1" si="1"/>
        <v>0.98631531166261277</v>
      </c>
      <c r="T35" s="9">
        <v>0</v>
      </c>
      <c r="U35" s="10"/>
      <c r="W35" s="70" t="s">
        <v>32</v>
      </c>
      <c r="X35" s="84" cm="1">
        <f t="array" ref="X35:AI35">TRANSPOSE(E42:E53)</f>
        <v>26.025309792782402</v>
      </c>
      <c r="Y35" s="85">
        <v>25.858892526555199</v>
      </c>
      <c r="Z35" s="85">
        <v>25.965628962389399</v>
      </c>
      <c r="AA35" s="85">
        <v>25.974299170246201</v>
      </c>
      <c r="AB35" s="85">
        <v>21.5323237486183</v>
      </c>
      <c r="AC35" s="85">
        <v>21.659511866171101</v>
      </c>
      <c r="AD35" s="85">
        <v>25.2051743663725</v>
      </c>
      <c r="AE35" s="85">
        <v>25.186678367805602</v>
      </c>
      <c r="AF35" s="85">
        <v>23.8582162699275</v>
      </c>
      <c r="AG35" s="85">
        <v>23.834068674636899</v>
      </c>
      <c r="AH35" s="85">
        <v>21.979219056924901</v>
      </c>
      <c r="AI35" s="86">
        <v>22.010767700582001</v>
      </c>
      <c r="AK35" s="196"/>
      <c r="AL35" s="133"/>
      <c r="AM35" s="133"/>
      <c r="AN35" s="133"/>
      <c r="AO35" s="133"/>
      <c r="AP35" s="133"/>
    </row>
    <row r="36" spans="1:42" x14ac:dyDescent="0.25">
      <c r="A36" s="25">
        <v>31</v>
      </c>
      <c r="B36" s="156" t="s">
        <v>66</v>
      </c>
      <c r="C36" s="165" t="s">
        <v>203</v>
      </c>
      <c r="D36" s="166" t="s">
        <v>204</v>
      </c>
      <c r="E36" s="166">
        <v>25.8553257661098</v>
      </c>
      <c r="F36" s="164">
        <v>80.958518981933594</v>
      </c>
      <c r="G36" s="8">
        <v>0.1</v>
      </c>
      <c r="H36" s="31" t="str" cm="1">
        <f t="array" ref="H36">IF(ISNUMBER(SEARCH("; ",AD8)), TRIM(INDEX(_xlfn.TEXTSPLIT(AD8,"; "),1)), AD8)</f>
        <v>MiND33328YS-1</v>
      </c>
      <c r="I36" s="31" t="str" cm="1">
        <f t="array" ref="I36">IF(ISNUMBER(SEARCH("; ",AD8)), TRIM(INDEX(_xlfn.TEXTSPLIT(AD8,"; "),2)), "")</f>
        <v>NURF583641</v>
      </c>
      <c r="J36" s="9">
        <v>16</v>
      </c>
      <c r="K36" s="34" t="str">
        <v>10</v>
      </c>
      <c r="L36" s="34">
        <v>1</v>
      </c>
      <c r="M36" s="34">
        <v>0</v>
      </c>
      <c r="N36" s="34">
        <v>0</v>
      </c>
      <c r="O36" s="34">
        <v>0</v>
      </c>
      <c r="P36" s="9">
        <v>1</v>
      </c>
      <c r="Q36" s="37" cm="1">
        <f t="array" aca="1" ref="Q36" ca="1">_xlfn.LET(_xlpm.p,P36,_xlpm.e,E36,_xlpm.k,K36,_xlpm.b,INDEX($Y$54:$AJ$54,1,_xlpm.p),_xlpm.s,INDEX($Y$53:$AJ$53,1,_xlpm.p),IF(_xlpm.e="Undetermined","",IF(T36=1,"#N/A",IF(OR(_xlpm.p&lt;1,_xlpm.p&gt;12),"invalid std",_xlpm.k*10^((_xlpm.e-_xlpm.b)/_xlpm.s)))))</f>
        <v>7.7783814163757947</v>
      </c>
      <c r="R36" s="37">
        <f t="shared" ca="1" si="0"/>
        <v>7.9760165171635862</v>
      </c>
      <c r="S36" s="37" t="str">
        <f t="shared" ca="1" si="1"/>
        <v/>
      </c>
      <c r="T36" s="9">
        <v>0</v>
      </c>
      <c r="U36" s="10"/>
      <c r="W36" s="43" t="s">
        <v>34</v>
      </c>
      <c r="X36" s="84" cm="1">
        <f t="array" ref="X36:AI36">TRANSPOSE(E54:E65)</f>
        <v>25.062287986813502</v>
      </c>
      <c r="Y36" s="85">
        <v>24.987994340036298</v>
      </c>
      <c r="Z36" s="85">
        <v>25.128453720789398</v>
      </c>
      <c r="AA36" s="85">
        <v>25.121479992127899</v>
      </c>
      <c r="AB36" s="85">
        <v>23.8281554313443</v>
      </c>
      <c r="AC36" s="85">
        <v>23.949107533554798</v>
      </c>
      <c r="AD36" s="85">
        <v>26.246779075386499</v>
      </c>
      <c r="AE36" s="85">
        <v>26.279517868241999</v>
      </c>
      <c r="AF36" s="85">
        <v>26.055319801551999</v>
      </c>
      <c r="AG36" s="85">
        <v>26.020031884663499</v>
      </c>
      <c r="AH36" s="85">
        <v>21.9601746855821</v>
      </c>
      <c r="AI36" s="86">
        <v>22.197910579766699</v>
      </c>
      <c r="AK36" s="195"/>
      <c r="AL36" s="133"/>
      <c r="AM36" s="133"/>
      <c r="AN36" s="133"/>
      <c r="AO36" s="133"/>
      <c r="AP36" s="133"/>
    </row>
    <row r="37" spans="1:42" x14ac:dyDescent="0.25">
      <c r="A37" s="25">
        <v>32</v>
      </c>
      <c r="B37" s="156" t="s">
        <v>67</v>
      </c>
      <c r="C37" s="162" t="s">
        <v>203</v>
      </c>
      <c r="D37" s="9" t="s">
        <v>204</v>
      </c>
      <c r="E37" s="163">
        <v>25.7846009342604</v>
      </c>
      <c r="F37" s="164">
        <v>80.958518981933594</v>
      </c>
      <c r="G37" s="8">
        <v>0.1</v>
      </c>
      <c r="H37" s="31" t="str" cm="1">
        <f t="array" ref="H37">IF(ISNUMBER(SEARCH("; ",AE8)), TRIM(INDEX(_xlfn.TEXTSPLIT(AE8,"; "),1)), AE8)</f>
        <v>MiND33328YS-1</v>
      </c>
      <c r="I37" s="31" t="str" cm="1">
        <f t="array" ref="I37">IF(ISNUMBER(SEARCH("; ",AE8)), TRIM(INDEX(_xlfn.TEXTSPLIT(AE8,"; "),2)), "")</f>
        <v>NURF583641</v>
      </c>
      <c r="J37" s="9">
        <v>16</v>
      </c>
      <c r="K37" s="34" t="str">
        <v>10</v>
      </c>
      <c r="L37" s="34">
        <v>1</v>
      </c>
      <c r="M37" s="34">
        <v>0</v>
      </c>
      <c r="N37" s="34">
        <v>0</v>
      </c>
      <c r="O37" s="34">
        <v>0</v>
      </c>
      <c r="P37" s="9">
        <v>1</v>
      </c>
      <c r="Q37" s="37" cm="1">
        <f t="array" aca="1" ref="Q37" ca="1">_xlfn.LET(_xlpm.p,P37,_xlpm.e,E37,_xlpm.k,K37,_xlpm.b,INDEX($Y$54:$AJ$54,1,_xlpm.p),_xlpm.s,INDEX($Y$53:$AJ$53,1,_xlpm.p),IF(_xlpm.e="Undetermined","",IF(T37=1,"#N/A",IF(OR(_xlpm.p&lt;1,_xlpm.p&gt;12),"invalid std",_xlpm.k*10^((_xlpm.e-_xlpm.b)/_xlpm.s)))))</f>
        <v>8.1736516179513767</v>
      </c>
      <c r="R37" s="37">
        <f t="shared" ca="1" si="0"/>
        <v>7.9760165171635862</v>
      </c>
      <c r="S37" s="37" t="str">
        <f t="shared" ca="1" si="1"/>
        <v/>
      </c>
      <c r="T37" s="9">
        <v>0</v>
      </c>
      <c r="U37" s="10"/>
      <c r="W37" s="70" t="s">
        <v>36</v>
      </c>
      <c r="X37" s="84" cm="1">
        <f t="array" ref="X37:AI37">TRANSPOSE(E66:E77)</f>
        <v>25.613781325733601</v>
      </c>
      <c r="Y37" s="85">
        <v>25.2781751232069</v>
      </c>
      <c r="Z37" s="85">
        <v>22.728754595878801</v>
      </c>
      <c r="AA37" s="85">
        <v>22.645971938117999</v>
      </c>
      <c r="AB37" s="85">
        <v>26.148537130483898</v>
      </c>
      <c r="AC37" s="85">
        <v>26.144124743732299</v>
      </c>
      <c r="AD37" s="85">
        <v>25.898182629530201</v>
      </c>
      <c r="AE37" s="85">
        <v>25.9574656465945</v>
      </c>
      <c r="AF37" s="85">
        <v>24.923594327536598</v>
      </c>
      <c r="AG37" s="85">
        <v>24.671441230376399</v>
      </c>
      <c r="AH37" s="85">
        <v>25.8027211481037</v>
      </c>
      <c r="AI37" s="86">
        <v>25.815843728325099</v>
      </c>
      <c r="AK37" s="195"/>
      <c r="AL37" s="133"/>
      <c r="AM37" s="133"/>
      <c r="AN37" s="133"/>
      <c r="AO37" s="133"/>
      <c r="AP37" s="133"/>
    </row>
    <row r="38" spans="1:42" x14ac:dyDescent="0.25">
      <c r="A38" s="25">
        <v>33</v>
      </c>
      <c r="B38" s="156" t="s">
        <v>68</v>
      </c>
      <c r="C38" s="162" t="s">
        <v>203</v>
      </c>
      <c r="D38" s="9" t="s">
        <v>204</v>
      </c>
      <c r="E38" s="163">
        <v>23.563762530088599</v>
      </c>
      <c r="F38" s="164">
        <v>80.918106079101506</v>
      </c>
      <c r="G38" s="8">
        <v>0.1</v>
      </c>
      <c r="H38" s="31" t="str" cm="1">
        <f t="array" ref="H38">IF(ISNUMBER(SEARCH("; ",AF8)), TRIM(INDEX(_xlfn.TEXTSPLIT(AF8,"; "),1)), AF8)</f>
        <v>MiND12238CD-1</v>
      </c>
      <c r="I38" s="31" t="str" cm="1">
        <f t="array" ref="I38">IF(ISNUMBER(SEARCH("; ",AF8)), TRIM(INDEX(_xlfn.TEXTSPLIT(AF8,"; "),2)), "")</f>
        <v>NURG116932</v>
      </c>
      <c r="J38" s="9">
        <v>17</v>
      </c>
      <c r="K38" s="34" t="str">
        <v>10</v>
      </c>
      <c r="L38" s="34">
        <v>1</v>
      </c>
      <c r="M38" s="34">
        <v>0</v>
      </c>
      <c r="N38" s="34">
        <v>0</v>
      </c>
      <c r="O38" s="34">
        <v>0</v>
      </c>
      <c r="P38" s="9">
        <v>1</v>
      </c>
      <c r="Q38" s="37" cm="1">
        <f t="array" aca="1" ref="Q38" ca="1">_xlfn.LET(_xlpm.p,P38,_xlpm.e,E38,_xlpm.k,K38,_xlpm.b,INDEX($Y$54:$AJ$54,1,_xlpm.p),_xlpm.s,INDEX($Y$53:$AJ$53,1,_xlpm.p),IF(_xlpm.e="Undetermined","",IF(T38=1,"#N/A",IF(OR(_xlpm.p&lt;1,_xlpm.p&gt;12),"invalid std",_xlpm.k*10^((_xlpm.e-_xlpm.b)/_xlpm.s)))))</f>
        <v>38.760052045451204</v>
      </c>
      <c r="R38" s="37">
        <f t="shared" ca="1" si="0"/>
        <v>36.998879621847408</v>
      </c>
      <c r="S38" s="37" t="str">
        <f t="shared" ref="S38:S69" ca="1" si="2">IFERROR(Q38/MID(H38,FIND("[",H38)+1,FIND("]",H38)-FIND("[",H38)-1),"")</f>
        <v/>
      </c>
      <c r="T38" s="9">
        <v>0</v>
      </c>
      <c r="U38" s="10"/>
      <c r="W38" s="43" t="s">
        <v>38</v>
      </c>
      <c r="X38" s="84" cm="1">
        <f t="array" ref="X38:AI38">TRANSPOSE(E78:E89)</f>
        <v>25.9393414622756</v>
      </c>
      <c r="Y38" s="85">
        <v>25.7015577601221</v>
      </c>
      <c r="Z38" s="85">
        <v>24.849902793184398</v>
      </c>
      <c r="AA38" s="85">
        <v>24.681731785163102</v>
      </c>
      <c r="AB38" s="85">
        <v>28.421017156168901</v>
      </c>
      <c r="AC38" s="85">
        <v>28.2971019981685</v>
      </c>
      <c r="AD38" s="85">
        <v>25.387083497884898</v>
      </c>
      <c r="AE38" s="85">
        <v>25.454097262665499</v>
      </c>
      <c r="AF38" s="85">
        <v>24.343085831346901</v>
      </c>
      <c r="AG38" s="85">
        <v>24.198842192878899</v>
      </c>
      <c r="AH38" s="85">
        <v>24.197867017369099</v>
      </c>
      <c r="AI38" s="86">
        <v>24.407573498808599</v>
      </c>
      <c r="AK38" s="184"/>
      <c r="AL38" s="13"/>
      <c r="AM38" s="13"/>
      <c r="AN38" s="13"/>
      <c r="AO38" s="13"/>
      <c r="AP38" s="13"/>
    </row>
    <row r="39" spans="1:42" x14ac:dyDescent="0.25">
      <c r="A39" s="25">
        <v>34</v>
      </c>
      <c r="B39" s="156" t="s">
        <v>69</v>
      </c>
      <c r="C39" s="162" t="s">
        <v>203</v>
      </c>
      <c r="D39" s="9" t="s">
        <v>204</v>
      </c>
      <c r="E39" s="163">
        <v>23.699702327968801</v>
      </c>
      <c r="F39" s="164">
        <v>80.918106079101506</v>
      </c>
      <c r="G39" s="8">
        <v>0.1</v>
      </c>
      <c r="H39" s="31" t="str" cm="1">
        <f t="array" ref="H39">IF(ISNUMBER(SEARCH("; ",AG8)), TRIM(INDEX(_xlfn.TEXTSPLIT(AG8,"; "),1)), AG8)</f>
        <v>MiND12238CD-1</v>
      </c>
      <c r="I39" s="31" t="str" cm="1">
        <f t="array" ref="I39">IF(ISNUMBER(SEARCH("; ",AG8)), TRIM(INDEX(_xlfn.TEXTSPLIT(AG8,"; "),2)), "")</f>
        <v>NURG116932</v>
      </c>
      <c r="J39" s="9">
        <v>17</v>
      </c>
      <c r="K39" s="34" t="str">
        <v>10</v>
      </c>
      <c r="L39" s="34">
        <v>1</v>
      </c>
      <c r="M39" s="34">
        <v>0</v>
      </c>
      <c r="N39" s="34">
        <v>0</v>
      </c>
      <c r="O39" s="34">
        <v>0</v>
      </c>
      <c r="P39" s="9">
        <v>1</v>
      </c>
      <c r="Q39" s="37" cm="1">
        <f t="array" aca="1" ref="Q39" ca="1">_xlfn.LET(_xlpm.p,P39,_xlpm.e,E39,_xlpm.k,K39,_xlpm.b,INDEX($Y$54:$AJ$54,1,_xlpm.p),_xlpm.s,INDEX($Y$53:$AJ$53,1,_xlpm.p),IF(_xlpm.e="Undetermined","",IF(T39=1,"#N/A",IF(OR(_xlpm.p&lt;1,_xlpm.p&gt;12),"invalid std",_xlpm.k*10^((_xlpm.e-_xlpm.b)/_xlpm.s)))))</f>
        <v>35.237707198243619</v>
      </c>
      <c r="R39" s="37">
        <f t="shared" ca="1" si="0"/>
        <v>36.998879621847408</v>
      </c>
      <c r="S39" s="37" t="str">
        <f t="shared" ca="1" si="2"/>
        <v/>
      </c>
      <c r="T39" s="9">
        <v>0</v>
      </c>
      <c r="U39" s="10"/>
      <c r="W39" s="70" t="s">
        <v>40</v>
      </c>
      <c r="X39" s="87" cm="1">
        <f t="array" ref="X39:AI39">TRANSPOSE(E90:E101)</f>
        <v>24.493955523843798</v>
      </c>
      <c r="Y39" s="88">
        <v>24.383531940781001</v>
      </c>
      <c r="Z39" s="88">
        <v>25.926969652544901</v>
      </c>
      <c r="AA39" s="88">
        <v>25.980923570585301</v>
      </c>
      <c r="AB39" s="88">
        <v>30.925986494328001</v>
      </c>
      <c r="AC39" s="88">
        <v>31.341957574606301</v>
      </c>
      <c r="AD39" s="88">
        <v>26.064170528945802</v>
      </c>
      <c r="AE39" s="88">
        <v>25.981900329399799</v>
      </c>
      <c r="AF39" s="88">
        <v>25.260568710646101</v>
      </c>
      <c r="AG39" s="88">
        <v>25.1713371942393</v>
      </c>
      <c r="AH39" s="88">
        <v>22.2559791041948</v>
      </c>
      <c r="AI39" s="89">
        <v>22.3399313499276</v>
      </c>
      <c r="AK39" s="184"/>
      <c r="AL39" s="13"/>
      <c r="AM39" s="13"/>
      <c r="AN39" s="13"/>
      <c r="AO39" s="13"/>
      <c r="AP39" s="13"/>
    </row>
    <row r="40" spans="1:42" x14ac:dyDescent="0.25">
      <c r="A40" s="25">
        <v>35</v>
      </c>
      <c r="B40" s="156" t="s">
        <v>70</v>
      </c>
      <c r="C40" s="165" t="s">
        <v>203</v>
      </c>
      <c r="D40" s="166" t="s">
        <v>204</v>
      </c>
      <c r="E40" s="166">
        <v>25.858017463799499</v>
      </c>
      <c r="F40" s="164">
        <v>80.902000427246094</v>
      </c>
      <c r="G40" s="8">
        <v>0.1</v>
      </c>
      <c r="H40" s="31" t="str" cm="1">
        <f t="array" ref="H40">IF(ISNUMBER(SEARCH("; ",AH8)), TRIM(INDEX(_xlfn.TEXTSPLIT(AH8,"; "),1)), AH8)</f>
        <v>NFL-QC-L</v>
      </c>
      <c r="I40" s="31" t="str" cm="1">
        <f t="array" ref="I40">IF(ISNUMBER(SEARCH("; ",AH8)), TRIM(INDEX(_xlfn.TEXTSPLIT(AH8,"; "),2)), "")</f>
        <v/>
      </c>
      <c r="J40" s="9">
        <v>18</v>
      </c>
      <c r="K40" s="34" t="str">
        <v>10</v>
      </c>
      <c r="L40" s="34">
        <v>1</v>
      </c>
      <c r="M40" s="34">
        <v>0</v>
      </c>
      <c r="N40" s="34">
        <v>0</v>
      </c>
      <c r="O40" s="34">
        <v>0</v>
      </c>
      <c r="P40" s="9">
        <v>1</v>
      </c>
      <c r="Q40" s="37" cm="1">
        <f t="array" aca="1" ref="Q40" ca="1">_xlfn.LET(_xlpm.p,P40,_xlpm.e,E40,_xlpm.k,K40,_xlpm.b,INDEX($Y$54:$AJ$54,1,_xlpm.p),_xlpm.s,INDEX($Y$53:$AJ$53,1,_xlpm.p),IF(_xlpm.e="Undetermined","",IF(T40=1,"#N/A",IF(OR(_xlpm.p&lt;1,_xlpm.p&gt;12),"invalid std",_xlpm.k*10^((_xlpm.e-_xlpm.b)/_xlpm.s)))))</f>
        <v>7.7637215182628703</v>
      </c>
      <c r="R40" s="37">
        <f t="shared" ca="1" si="0"/>
        <v>7.3451108433130052</v>
      </c>
      <c r="S40" s="37" t="str">
        <f t="shared" ca="1" si="2"/>
        <v/>
      </c>
      <c r="T40" s="9">
        <v>0</v>
      </c>
      <c r="U40" s="10"/>
      <c r="W40" s="14"/>
      <c r="AK40" s="184"/>
      <c r="AL40" s="13"/>
      <c r="AM40" s="13"/>
      <c r="AN40" s="13"/>
      <c r="AO40" s="13"/>
      <c r="AP40" s="13"/>
    </row>
    <row r="41" spans="1:42" x14ac:dyDescent="0.25">
      <c r="A41" s="26">
        <v>36</v>
      </c>
      <c r="B41" s="156" t="s">
        <v>71</v>
      </c>
      <c r="C41" s="165" t="s">
        <v>203</v>
      </c>
      <c r="D41" s="166" t="s">
        <v>204</v>
      </c>
      <c r="E41" s="166">
        <v>26.020829982476702</v>
      </c>
      <c r="F41" s="164">
        <v>80.902000427246094</v>
      </c>
      <c r="G41" s="8">
        <v>0.1</v>
      </c>
      <c r="H41" s="31" t="str" cm="1">
        <f t="array" ref="H41">IF(ISNUMBER(SEARCH("; ",AI8)), TRIM(INDEX(_xlfn.TEXTSPLIT(AI8,"; "),1)), AI8)</f>
        <v>NFL-QC-L</v>
      </c>
      <c r="I41" s="31" t="str" cm="1">
        <f t="array" ref="I41">IF(ISNUMBER(SEARCH("; ",AI8)), TRIM(INDEX(_xlfn.TEXTSPLIT(AI8,"; "),2)), "")</f>
        <v/>
      </c>
      <c r="J41" s="9">
        <v>18</v>
      </c>
      <c r="K41" s="34" t="str">
        <v>10</v>
      </c>
      <c r="L41" s="34">
        <v>1</v>
      </c>
      <c r="M41" s="34">
        <v>0</v>
      </c>
      <c r="N41" s="34">
        <v>0</v>
      </c>
      <c r="O41" s="34">
        <v>0</v>
      </c>
      <c r="P41" s="9">
        <v>1</v>
      </c>
      <c r="Q41" s="37" cm="1">
        <f t="array" aca="1" ref="Q41" ca="1">_xlfn.LET(_xlpm.p,P41,_xlpm.e,E41,_xlpm.k,K41,_xlpm.b,INDEX($Y$54:$AJ$54,1,_xlpm.p),_xlpm.s,INDEX($Y$53:$AJ$53,1,_xlpm.p),IF(_xlpm.e="Undetermined","",IF(T41=1,"#N/A",IF(OR(_xlpm.p&lt;1,_xlpm.p&gt;12),"invalid std",_xlpm.k*10^((_xlpm.e-_xlpm.b)/_xlpm.s)))))</f>
        <v>6.9265001683631393</v>
      </c>
      <c r="R41" s="37">
        <f t="shared" ca="1" si="0"/>
        <v>7.3451108433130052</v>
      </c>
      <c r="S41" s="37" t="str">
        <f t="shared" ca="1" si="2"/>
        <v/>
      </c>
      <c r="T41" s="9">
        <v>0</v>
      </c>
      <c r="U41" s="10"/>
      <c r="Y41" s="2"/>
      <c r="Z41" s="15"/>
      <c r="AK41" s="197"/>
      <c r="AL41" s="13"/>
      <c r="AM41" s="13"/>
      <c r="AN41" s="134"/>
      <c r="AO41" s="134"/>
      <c r="AP41" s="13"/>
    </row>
    <row r="42" spans="1:42" x14ac:dyDescent="0.25">
      <c r="A42" s="25">
        <v>37</v>
      </c>
      <c r="B42" s="155" t="s">
        <v>72</v>
      </c>
      <c r="C42" s="159" t="s">
        <v>203</v>
      </c>
      <c r="D42" s="6" t="s">
        <v>204</v>
      </c>
      <c r="E42" s="160">
        <v>26.025309792782402</v>
      </c>
      <c r="F42" s="161">
        <v>80.803367614746094</v>
      </c>
      <c r="G42" s="170">
        <v>0.1</v>
      </c>
      <c r="H42" s="30" t="str" cm="1">
        <f t="array" ref="H42">IF(ISNUMBER(SEARCH("; ",X9)), TRIM(INDEX(_xlfn.TEXTSPLIT(X9,"; "),1)), X9)</f>
        <v>MiND33215JM-1</v>
      </c>
      <c r="I42" s="30" t="str" cm="1">
        <f t="array" ref="I42">IF(ISNUMBER(SEARCH("; ",X9)), TRIM(INDEX(_xlfn.TEXTSPLIT(X9,"; "),2)), "")</f>
        <v>NURF161236</v>
      </c>
      <c r="J42" s="6">
        <v>19</v>
      </c>
      <c r="K42" s="33" t="str" cm="1">
        <f t="array" ref="K42:K53">TRANSPOSE(RIGHT(LEFT(X20:AI20,FIND(";",X20:AI20)-1),LEN(LEFT(X20:AI20,FIND(";",X20:AI20)-1))-1))</f>
        <v>10</v>
      </c>
      <c r="L42" s="33" cm="1">
        <f t="array" ref="L42:L53">TRANSPOSE(IF(ISNUMBER(SEARCH("v1",X20:AI20)),1,0))</f>
        <v>1</v>
      </c>
      <c r="M42" s="33" cm="1">
        <f t="array" ref="M42:M53">TRANSPOSE(IF(ISNUMBER(SEARCH("v2",X20:AI20)),1,0))</f>
        <v>0</v>
      </c>
      <c r="N42" s="33" cm="1">
        <f t="array" ref="N42:N53">TRANSPOSE(IF(ISNUMBER(SEARCH("v3",X20:AI20)),1,0))</f>
        <v>0</v>
      </c>
      <c r="O42" s="33" cm="1">
        <f t="array" ref="O42:O53">TRANSPOSE(IF(ISNUMBER(SEARCH("v4",X20:AI20)),1,0))</f>
        <v>0</v>
      </c>
      <c r="P42" s="6">
        <v>1</v>
      </c>
      <c r="Q42" s="36" cm="1">
        <f t="array" aca="1" ref="Q42" ca="1">_xlfn.LET(_xlpm.p,P42,_xlpm.e,E42,_xlpm.k,K42,_xlpm.b,INDEX($Y$54:$AJ$54,1,_xlpm.p),_xlpm.s,INDEX($Y$53:$AJ$53,1,_xlpm.p),IF(_xlpm.e="Undetermined","",IF(T42=1,"#N/A",IF(OR(_xlpm.p&lt;1,_xlpm.p&gt;12),"invalid std",_xlpm.k*10^((_xlpm.e-_xlpm.b)/_xlpm.s)))))</f>
        <v>6.9047873152677353</v>
      </c>
      <c r="R42" s="36">
        <f t="shared" ca="1" si="0"/>
        <v>7.3318744494106483</v>
      </c>
      <c r="S42" s="36" t="str">
        <f t="shared" ca="1" si="2"/>
        <v/>
      </c>
      <c r="T42" s="6">
        <v>0</v>
      </c>
      <c r="U42" s="7"/>
      <c r="W42" s="39" t="s">
        <v>73</v>
      </c>
      <c r="AB42" s="16"/>
      <c r="AC42" s="17"/>
      <c r="AK42" s="184"/>
      <c r="AL42" s="13"/>
      <c r="AM42" s="13"/>
      <c r="AN42" s="124"/>
      <c r="AO42" s="124"/>
      <c r="AP42" s="13"/>
    </row>
    <row r="43" spans="1:42" x14ac:dyDescent="0.25">
      <c r="A43" s="25">
        <v>38</v>
      </c>
      <c r="B43" s="156" t="s">
        <v>74</v>
      </c>
      <c r="C43" s="162" t="s">
        <v>203</v>
      </c>
      <c r="D43" s="9" t="s">
        <v>204</v>
      </c>
      <c r="E43" s="163">
        <v>25.858892526555199</v>
      </c>
      <c r="F43" s="164">
        <v>80.940422058105398</v>
      </c>
      <c r="G43" s="171">
        <v>0.1</v>
      </c>
      <c r="H43" s="31" t="str" cm="1">
        <f t="array" ref="H43">IF(ISNUMBER(SEARCH("; ",Y9)), TRIM(INDEX(_xlfn.TEXTSPLIT(Y9,"; "),1)), Y9)</f>
        <v>MiND33215JM-1</v>
      </c>
      <c r="I43" s="31" t="str" cm="1">
        <f t="array" ref="I43">IF(ISNUMBER(SEARCH("; ",Y9)), TRIM(INDEX(_xlfn.TEXTSPLIT(Y9,"; "),2)), "")</f>
        <v>NURF161236</v>
      </c>
      <c r="J43" s="9">
        <v>19</v>
      </c>
      <c r="K43" s="34" t="str">
        <v>10</v>
      </c>
      <c r="L43" s="34">
        <v>1</v>
      </c>
      <c r="M43" s="34">
        <v>0</v>
      </c>
      <c r="N43" s="34">
        <v>0</v>
      </c>
      <c r="O43" s="34">
        <v>0</v>
      </c>
      <c r="P43" s="9">
        <v>1</v>
      </c>
      <c r="Q43" s="37" cm="1">
        <f t="array" aca="1" ref="Q43" ca="1">_xlfn.LET(_xlpm.p,P43,_xlpm.e,E43,_xlpm.k,K43,_xlpm.b,INDEX($Y$54:$AJ$54,1,_xlpm.p),_xlpm.s,INDEX($Y$53:$AJ$53,1,_xlpm.p),IF(_xlpm.e="Undetermined","",IF(T43=1,"#N/A",IF(OR(_xlpm.p&lt;1,_xlpm.p&gt;12),"invalid std",_xlpm.k*10^((_xlpm.e-_xlpm.b)/_xlpm.s)))))</f>
        <v>7.7589615835535604</v>
      </c>
      <c r="R43" s="37">
        <f t="shared" ca="1" si="0"/>
        <v>7.3318744494106483</v>
      </c>
      <c r="S43" s="37" t="str">
        <f t="shared" ca="1" si="2"/>
        <v/>
      </c>
      <c r="T43" s="9">
        <v>0</v>
      </c>
      <c r="U43" s="10"/>
      <c r="W43" s="153" t="s">
        <v>164</v>
      </c>
      <c r="X43" s="154"/>
      <c r="Y43" s="145" t="s">
        <v>75</v>
      </c>
      <c r="Z43" s="146" t="s">
        <v>76</v>
      </c>
      <c r="AA43" s="145" t="s">
        <v>77</v>
      </c>
      <c r="AB43" s="146" t="s">
        <v>78</v>
      </c>
      <c r="AC43" s="145" t="s">
        <v>151</v>
      </c>
      <c r="AD43" s="146" t="s">
        <v>152</v>
      </c>
      <c r="AE43" s="147" t="s">
        <v>158</v>
      </c>
      <c r="AF43" s="149" t="s">
        <v>159</v>
      </c>
      <c r="AG43" s="148" t="s">
        <v>160</v>
      </c>
      <c r="AH43" s="147" t="s">
        <v>163</v>
      </c>
      <c r="AI43" s="149" t="s">
        <v>161</v>
      </c>
      <c r="AJ43" s="148" t="s">
        <v>162</v>
      </c>
      <c r="AK43" s="184"/>
      <c r="AL43" s="13"/>
      <c r="AM43" s="13"/>
      <c r="AN43" s="2"/>
      <c r="AO43" s="124"/>
      <c r="AP43" s="13"/>
    </row>
    <row r="44" spans="1:42" x14ac:dyDescent="0.25">
      <c r="A44" s="25">
        <v>39</v>
      </c>
      <c r="B44" s="156" t="s">
        <v>79</v>
      </c>
      <c r="C44" s="162" t="s">
        <v>203</v>
      </c>
      <c r="D44" s="9" t="s">
        <v>204</v>
      </c>
      <c r="E44" s="163">
        <v>25.965628962389399</v>
      </c>
      <c r="F44" s="164">
        <v>80.959739685058594</v>
      </c>
      <c r="G44" s="171">
        <v>0.1</v>
      </c>
      <c r="H44" s="31" t="str" cm="1">
        <f t="array" ref="H44">IF(ISNUMBER(SEARCH("; ",Z9)), TRIM(INDEX(_xlfn.TEXTSPLIT(Z9,"; "),1)), Z9)</f>
        <v>MiND25067EC-1</v>
      </c>
      <c r="I44" s="31" t="str" cm="1">
        <f t="array" ref="I44">IF(ISNUMBER(SEARCH("; ",Z9)), TRIM(INDEX(_xlfn.TEXTSPLIT(Z9,"; "),2)), "")</f>
        <v>NURG333885</v>
      </c>
      <c r="J44" s="9">
        <v>20</v>
      </c>
      <c r="K44" s="34" t="str">
        <v>10</v>
      </c>
      <c r="L44" s="34">
        <v>1</v>
      </c>
      <c r="M44" s="34">
        <v>0</v>
      </c>
      <c r="N44" s="34">
        <v>0</v>
      </c>
      <c r="O44" s="34">
        <v>0</v>
      </c>
      <c r="P44" s="9">
        <v>1</v>
      </c>
      <c r="Q44" s="37" cm="1">
        <f t="array" aca="1" ref="Q44" ca="1">_xlfn.LET(_xlpm.p,P44,_xlpm.e,E44,_xlpm.k,K44,_xlpm.b,INDEX($Y$54:$AJ$54,1,_xlpm.p),_xlpm.s,INDEX($Y$53:$AJ$53,1,_xlpm.p),IF(_xlpm.e="Undetermined","",IF(T44=1,"#N/A",IF(OR(_xlpm.p&lt;1,_xlpm.p&gt;12),"invalid std",_xlpm.k*10^((_xlpm.e-_xlpm.b)/_xlpm.s)))))</f>
        <v>7.1997210963424791</v>
      </c>
      <c r="R44" s="37">
        <f t="shared" ca="1" si="0"/>
        <v>7.1779128185701921</v>
      </c>
      <c r="S44" s="37" t="str">
        <f t="shared" ca="1" si="2"/>
        <v/>
      </c>
      <c r="T44" s="9">
        <v>0</v>
      </c>
      <c r="U44" s="10"/>
      <c r="W44" s="152" t="s">
        <v>145</v>
      </c>
      <c r="X44" s="151" t="s">
        <v>80</v>
      </c>
      <c r="Y44" s="150" t="s">
        <v>81</v>
      </c>
      <c r="Z44" s="151" t="s">
        <v>81</v>
      </c>
      <c r="AA44" s="150" t="s">
        <v>81</v>
      </c>
      <c r="AB44" s="151" t="s">
        <v>81</v>
      </c>
      <c r="AC44" s="150" t="s">
        <v>81</v>
      </c>
      <c r="AD44" s="151" t="s">
        <v>81</v>
      </c>
      <c r="AE44" s="150" t="s">
        <v>81</v>
      </c>
      <c r="AF44" s="151" t="s">
        <v>81</v>
      </c>
      <c r="AG44" s="152" t="s">
        <v>81</v>
      </c>
      <c r="AH44" s="150" t="s">
        <v>81</v>
      </c>
      <c r="AI44" s="151" t="s">
        <v>81</v>
      </c>
      <c r="AJ44" s="152" t="s">
        <v>81</v>
      </c>
      <c r="AK44" s="184"/>
      <c r="AL44" s="13"/>
      <c r="AM44" s="13"/>
      <c r="AN44" s="2"/>
      <c r="AO44" s="124"/>
      <c r="AP44" s="125"/>
    </row>
    <row r="45" spans="1:42" x14ac:dyDescent="0.25">
      <c r="A45" s="25">
        <v>40</v>
      </c>
      <c r="B45" s="156" t="s">
        <v>82</v>
      </c>
      <c r="C45" s="162" t="s">
        <v>203</v>
      </c>
      <c r="D45" s="9" t="s">
        <v>204</v>
      </c>
      <c r="E45" s="163">
        <v>25.974299170246201</v>
      </c>
      <c r="F45" s="164">
        <v>80.959739685058594</v>
      </c>
      <c r="G45" s="171">
        <v>0.1</v>
      </c>
      <c r="H45" s="31" t="str" cm="1">
        <f t="array" ref="H45">IF(ISNUMBER(SEARCH("; ",AA9)), TRIM(INDEX(_xlfn.TEXTSPLIT(AA9,"; "),1)), AA9)</f>
        <v>MiND25067EC-1</v>
      </c>
      <c r="I45" s="31" t="str" cm="1">
        <f t="array" ref="I45">IF(ISNUMBER(SEARCH("; ",AA9)), TRIM(INDEX(_xlfn.TEXTSPLIT(AA9,"; "),2)), "")</f>
        <v>NURG333885</v>
      </c>
      <c r="J45" s="9">
        <v>20</v>
      </c>
      <c r="K45" s="34" t="str">
        <v>10</v>
      </c>
      <c r="L45" s="34">
        <v>1</v>
      </c>
      <c r="M45" s="34">
        <v>0</v>
      </c>
      <c r="N45" s="34">
        <v>0</v>
      </c>
      <c r="O45" s="34">
        <v>0</v>
      </c>
      <c r="P45" s="9">
        <v>1</v>
      </c>
      <c r="Q45" s="37" cm="1">
        <f t="array" aca="1" ref="Q45" ca="1">_xlfn.LET(_xlpm.p,P45,_xlpm.e,E45,_xlpm.k,K45,_xlpm.b,INDEX($Y$54:$AJ$54,1,_xlpm.p),_xlpm.s,INDEX($Y$53:$AJ$53,1,_xlpm.p),IF(_xlpm.e="Undetermined","",IF(T45=1,"#N/A",IF(OR(_xlpm.p&lt;1,_xlpm.p&gt;12),"invalid std",_xlpm.k*10^((_xlpm.e-_xlpm.b)/_xlpm.s)))))</f>
        <v>7.1561045407979051</v>
      </c>
      <c r="R45" s="37">
        <f t="shared" ca="1" si="0"/>
        <v>7.1779128185701921</v>
      </c>
      <c r="S45" s="37" t="str">
        <f t="shared" ca="1" si="2"/>
        <v/>
      </c>
      <c r="T45" s="9">
        <v>0</v>
      </c>
      <c r="U45" s="10"/>
      <c r="W45" s="18">
        <v>2000</v>
      </c>
      <c r="X45" s="80">
        <f>LOG10(W45)</f>
        <v>3.3010299956639813</v>
      </c>
      <c r="Y45" s="175">
        <f>AB61</f>
        <v>14.613654667814401</v>
      </c>
      <c r="Z45" s="176"/>
      <c r="AA45" s="175"/>
      <c r="AB45" s="176"/>
      <c r="AC45" s="175"/>
      <c r="AD45" s="176"/>
      <c r="AE45" s="175"/>
      <c r="AF45" s="176"/>
      <c r="AG45" s="177"/>
      <c r="AH45" s="176"/>
      <c r="AI45" s="178"/>
      <c r="AJ45" s="179"/>
      <c r="AK45" s="198"/>
      <c r="AL45" s="126"/>
      <c r="AM45" s="126"/>
      <c r="AN45" s="103"/>
      <c r="AO45" s="127"/>
    </row>
    <row r="46" spans="1:42" x14ac:dyDescent="0.25">
      <c r="A46" s="25">
        <v>41</v>
      </c>
      <c r="B46" s="156" t="s">
        <v>83</v>
      </c>
      <c r="C46" s="162" t="s">
        <v>203</v>
      </c>
      <c r="D46" s="9" t="s">
        <v>204</v>
      </c>
      <c r="E46" s="163">
        <v>21.5323237486183</v>
      </c>
      <c r="F46" s="164">
        <v>80.918701171875</v>
      </c>
      <c r="G46" s="171">
        <v>0.1</v>
      </c>
      <c r="H46" s="31" t="str" cm="1">
        <f t="array" ref="H46">IF(ISNUMBER(SEARCH("; ",AB9)), TRIM(INDEX(_xlfn.TEXTSPLIT(AB9,"; "),1)), AB9)</f>
        <v>std1[16]_progen#62008</v>
      </c>
      <c r="I46" s="31" t="str" cm="1">
        <f t="array" ref="I46">IF(ISNUMBER(SEARCH("; ",AB9)), TRIM(INDEX(_xlfn.TEXTSPLIT(AB9,"; "),2)), "")</f>
        <v/>
      </c>
      <c r="J46" s="9">
        <v>21</v>
      </c>
      <c r="K46" s="34" t="str">
        <v>1</v>
      </c>
      <c r="L46" s="34">
        <v>1</v>
      </c>
      <c r="M46" s="34">
        <v>0</v>
      </c>
      <c r="N46" s="34">
        <v>0</v>
      </c>
      <c r="O46" s="34">
        <v>0</v>
      </c>
      <c r="P46" s="9">
        <v>1</v>
      </c>
      <c r="Q46" s="37" cm="1">
        <f t="array" aca="1" ref="Q46" ca="1">_xlfn.LET(_xlpm.p,P46,_xlpm.e,E46,_xlpm.k,K46,_xlpm.b,INDEX($Y$54:$AJ$54,1,_xlpm.p),_xlpm.s,INDEX($Y$53:$AJ$53,1,_xlpm.p),IF(_xlpm.e="Undetermined","",IF(T46=1,"#N/A",IF(OR(_xlpm.p&lt;1,_xlpm.p&gt;12),"invalid std",_xlpm.k*10^((_xlpm.e-_xlpm.b)/_xlpm.s)))))</f>
        <v>16.095483377525184</v>
      </c>
      <c r="R46" s="37">
        <f t="shared" ca="1" si="0"/>
        <v>15.40915350687693</v>
      </c>
      <c r="S46" s="37">
        <f t="shared" ca="1" si="2"/>
        <v>1.005967711095324</v>
      </c>
      <c r="T46" s="9">
        <v>0</v>
      </c>
      <c r="U46" s="10"/>
      <c r="W46" s="18">
        <v>400</v>
      </c>
      <c r="X46" s="80">
        <f t="shared" ref="X46:X51" si="3">LOG10(W46)</f>
        <v>2.6020599913279625</v>
      </c>
      <c r="Y46" s="175">
        <f t="shared" ref="Y46:Y52" si="4">AB62</f>
        <v>16.935960642745052</v>
      </c>
      <c r="Z46" s="175"/>
      <c r="AA46" s="175"/>
      <c r="AB46" s="175"/>
      <c r="AC46" s="175"/>
      <c r="AD46" s="175"/>
      <c r="AE46" s="175"/>
      <c r="AF46" s="175"/>
      <c r="AG46" s="177"/>
      <c r="AH46" s="175"/>
      <c r="AI46" s="178"/>
      <c r="AJ46" s="177"/>
      <c r="AK46" s="184"/>
      <c r="AL46" s="13"/>
      <c r="AM46" s="13"/>
      <c r="AN46" s="2"/>
      <c r="AO46" s="124"/>
      <c r="AP46" s="13"/>
    </row>
    <row r="47" spans="1:42" x14ac:dyDescent="0.25">
      <c r="A47" s="25">
        <v>42</v>
      </c>
      <c r="B47" s="156" t="s">
        <v>84</v>
      </c>
      <c r="C47" s="165" t="s">
        <v>203</v>
      </c>
      <c r="D47" s="166" t="s">
        <v>204</v>
      </c>
      <c r="E47" s="166">
        <v>21.659511866171101</v>
      </c>
      <c r="F47" s="164">
        <v>80.918701171875</v>
      </c>
      <c r="G47" s="171">
        <v>0.1</v>
      </c>
      <c r="H47" s="31" t="str" cm="1">
        <f t="array" ref="H47">IF(ISNUMBER(SEARCH("; ",AC9)), TRIM(INDEX(_xlfn.TEXTSPLIT(AC9,"; "),1)), AC9)</f>
        <v>std1[16]_progen#62008</v>
      </c>
      <c r="I47" s="31" t="str" cm="1">
        <f t="array" ref="I47">IF(ISNUMBER(SEARCH("; ",AC9)), TRIM(INDEX(_xlfn.TEXTSPLIT(AC9,"; "),2)), "")</f>
        <v/>
      </c>
      <c r="J47" s="9">
        <v>21</v>
      </c>
      <c r="K47" s="34" t="str">
        <v>1</v>
      </c>
      <c r="L47" s="34">
        <v>1</v>
      </c>
      <c r="M47" s="34">
        <v>0</v>
      </c>
      <c r="N47" s="34">
        <v>0</v>
      </c>
      <c r="O47" s="34">
        <v>0</v>
      </c>
      <c r="P47" s="9">
        <v>1</v>
      </c>
      <c r="Q47" s="37" cm="1">
        <f t="array" aca="1" ref="Q47" ca="1">_xlfn.LET(_xlpm.p,P47,_xlpm.e,E47,_xlpm.k,K47,_xlpm.b,INDEX($Y$54:$AJ$54,1,_xlpm.p),_xlpm.s,INDEX($Y$53:$AJ$53,1,_xlpm.p),IF(_xlpm.e="Undetermined","",IF(T47=1,"#N/A",IF(OR(_xlpm.p&lt;1,_xlpm.p&gt;12),"invalid std",_xlpm.k*10^((_xlpm.e-_xlpm.b)/_xlpm.s)))))</f>
        <v>14.722823636228677</v>
      </c>
      <c r="R47" s="37">
        <f t="shared" ca="1" si="0"/>
        <v>15.40915350687693</v>
      </c>
      <c r="S47" s="37">
        <f t="shared" ca="1" si="2"/>
        <v>0.9201764772642923</v>
      </c>
      <c r="T47" s="9">
        <v>0</v>
      </c>
      <c r="U47" s="10"/>
      <c r="W47" s="18">
        <v>80</v>
      </c>
      <c r="X47" s="80">
        <f t="shared" si="3"/>
        <v>1.9030899869919435</v>
      </c>
      <c r="Y47" s="175">
        <f t="shared" si="4"/>
        <v>19.246138720689199</v>
      </c>
      <c r="Z47" s="175"/>
      <c r="AA47" s="175"/>
      <c r="AB47" s="175"/>
      <c r="AC47" s="175"/>
      <c r="AD47" s="175"/>
      <c r="AE47" s="175"/>
      <c r="AF47" s="175"/>
      <c r="AG47" s="177"/>
      <c r="AH47" s="175"/>
      <c r="AI47" s="178"/>
      <c r="AJ47" s="177"/>
      <c r="AK47" s="184"/>
      <c r="AL47" s="13"/>
      <c r="AM47" s="13"/>
      <c r="AN47" s="2"/>
      <c r="AO47" s="124"/>
      <c r="AP47" s="13"/>
    </row>
    <row r="48" spans="1:42" x14ac:dyDescent="0.25">
      <c r="A48" s="25">
        <v>43</v>
      </c>
      <c r="B48" s="156" t="s">
        <v>85</v>
      </c>
      <c r="C48" s="165" t="s">
        <v>203</v>
      </c>
      <c r="D48" s="166" t="s">
        <v>204</v>
      </c>
      <c r="E48" s="166">
        <v>25.2051743663725</v>
      </c>
      <c r="F48" s="164">
        <v>80.958518981933594</v>
      </c>
      <c r="G48" s="171">
        <v>0.1</v>
      </c>
      <c r="H48" s="31" t="str" cm="1">
        <f t="array" ref="H48">IF(ISNUMBER(SEARCH("; ",AD9)), TRIM(INDEX(_xlfn.TEXTSPLIT(AD9,"; "),1)), AD9)</f>
        <v>MiND31056SR-1</v>
      </c>
      <c r="I48" s="31" t="str" cm="1">
        <f t="array" ref="I48">IF(ISNUMBER(SEARCH("; ",AD9)), TRIM(INDEX(_xlfn.TEXTSPLIT(AD9,"; "),2)), "")</f>
        <v>NURF584002</v>
      </c>
      <c r="J48" s="9">
        <v>22</v>
      </c>
      <c r="K48" s="34" t="str">
        <v>10</v>
      </c>
      <c r="L48" s="34">
        <v>1</v>
      </c>
      <c r="M48" s="34">
        <v>0</v>
      </c>
      <c r="N48" s="34">
        <v>0</v>
      </c>
      <c r="O48" s="34">
        <v>0</v>
      </c>
      <c r="P48" s="9">
        <v>1</v>
      </c>
      <c r="Q48" s="37" cm="1">
        <f t="array" aca="1" ref="Q48" ca="1">_xlfn.LET(_xlpm.p,P48,_xlpm.e,E48,_xlpm.k,K48,_xlpm.b,INDEX($Y$54:$AJ$54,1,_xlpm.p),_xlpm.s,INDEX($Y$53:$AJ$53,1,_xlpm.p),IF(_xlpm.e="Undetermined","",IF(T48=1,"#N/A",IF(OR(_xlpm.p&lt;1,_xlpm.p&gt;12),"invalid std",_xlpm.k*10^((_xlpm.e-_xlpm.b)/_xlpm.s)))))</f>
        <v>12.268154179262174</v>
      </c>
      <c r="R48" s="37">
        <f t="shared" ca="1" si="0"/>
        <v>12.348187332710912</v>
      </c>
      <c r="S48" s="37" t="str">
        <f t="shared" ca="1" si="2"/>
        <v/>
      </c>
      <c r="T48" s="9">
        <v>0</v>
      </c>
      <c r="U48" s="10"/>
      <c r="W48" s="18">
        <v>16</v>
      </c>
      <c r="X48" s="80">
        <f t="shared" si="3"/>
        <v>1.2041199826559248</v>
      </c>
      <c r="Y48" s="175">
        <f t="shared" si="4"/>
        <v>21.595917807394699</v>
      </c>
      <c r="Z48" s="175"/>
      <c r="AA48" s="175"/>
      <c r="AB48" s="175"/>
      <c r="AC48" s="175"/>
      <c r="AD48" s="175"/>
      <c r="AE48" s="175"/>
      <c r="AF48" s="175"/>
      <c r="AG48" s="177"/>
      <c r="AH48" s="175"/>
      <c r="AI48" s="178"/>
      <c r="AJ48" s="177"/>
      <c r="AK48" s="184"/>
      <c r="AP48" s="13"/>
    </row>
    <row r="49" spans="1:44" x14ac:dyDescent="0.25">
      <c r="A49" s="25">
        <v>44</v>
      </c>
      <c r="B49" s="156" t="s">
        <v>86</v>
      </c>
      <c r="C49" s="162" t="s">
        <v>203</v>
      </c>
      <c r="D49" s="9" t="s">
        <v>204</v>
      </c>
      <c r="E49" s="163">
        <v>25.186678367805602</v>
      </c>
      <c r="F49" s="164">
        <v>80.958518981933594</v>
      </c>
      <c r="G49" s="171">
        <v>0.1</v>
      </c>
      <c r="H49" s="31" t="str" cm="1">
        <f t="array" ref="H49">IF(ISNUMBER(SEARCH("; ",AE9)), TRIM(INDEX(_xlfn.TEXTSPLIT(AE9,"; "),1)), AE9)</f>
        <v>MiND31056SR-1</v>
      </c>
      <c r="I49" s="31" t="str" cm="1">
        <f t="array" ref="I49">IF(ISNUMBER(SEARCH("; ",AE9)), TRIM(INDEX(_xlfn.TEXTSPLIT(AE9,"; "),2)), "")</f>
        <v>NURF584002</v>
      </c>
      <c r="J49" s="9">
        <v>22</v>
      </c>
      <c r="K49" s="34" t="str">
        <v>10</v>
      </c>
      <c r="L49" s="34">
        <v>1</v>
      </c>
      <c r="M49" s="34">
        <v>0</v>
      </c>
      <c r="N49" s="34">
        <v>0</v>
      </c>
      <c r="O49" s="34">
        <v>0</v>
      </c>
      <c r="P49" s="9">
        <v>1</v>
      </c>
      <c r="Q49" s="37" cm="1">
        <f t="array" aca="1" ref="Q49" ca="1">_xlfn.LET(_xlpm.p,P49,_xlpm.e,E49,_xlpm.k,K49,_xlpm.b,INDEX($Y$54:$AJ$54,1,_xlpm.p),_xlpm.s,INDEX($Y$53:$AJ$53,1,_xlpm.p),IF(_xlpm.e="Undetermined","",IF(T49=1,"#N/A",IF(OR(_xlpm.p&lt;1,_xlpm.p&gt;12),"invalid std",_xlpm.k*10^((_xlpm.e-_xlpm.b)/_xlpm.s)))))</f>
        <v>12.428220486159651</v>
      </c>
      <c r="R49" s="37">
        <f t="shared" ca="1" si="0"/>
        <v>12.348187332710912</v>
      </c>
      <c r="S49" s="37" t="str">
        <f t="shared" ca="1" si="2"/>
        <v/>
      </c>
      <c r="T49" s="9">
        <v>0</v>
      </c>
      <c r="U49" s="10"/>
      <c r="W49" s="18">
        <v>3.2</v>
      </c>
      <c r="X49" s="80">
        <f t="shared" si="3"/>
        <v>0.50514997831990605</v>
      </c>
      <c r="Y49" s="175">
        <f t="shared" si="4"/>
        <v>23.888631482449547</v>
      </c>
      <c r="Z49" s="175"/>
      <c r="AA49" s="175"/>
      <c r="AB49" s="175"/>
      <c r="AC49" s="175"/>
      <c r="AD49" s="180"/>
      <c r="AE49" s="181"/>
      <c r="AF49" s="182"/>
      <c r="AG49" s="183"/>
      <c r="AH49" s="182"/>
      <c r="AI49" s="135"/>
      <c r="AJ49" s="184"/>
      <c r="AK49" s="194"/>
      <c r="AL49" s="129"/>
      <c r="AM49" s="129"/>
      <c r="AN49" s="104"/>
      <c r="AO49" s="104"/>
      <c r="AP49" s="104"/>
      <c r="AQ49" s="130"/>
      <c r="AR49" s="13"/>
    </row>
    <row r="50" spans="1:44" x14ac:dyDescent="0.25">
      <c r="A50" s="25">
        <v>45</v>
      </c>
      <c r="B50" s="156" t="s">
        <v>87</v>
      </c>
      <c r="C50" s="162" t="s">
        <v>203</v>
      </c>
      <c r="D50" s="9" t="s">
        <v>204</v>
      </c>
      <c r="E50" s="163">
        <v>23.8582162699275</v>
      </c>
      <c r="F50" s="164">
        <v>80.918106079101506</v>
      </c>
      <c r="G50" s="171">
        <v>0.1</v>
      </c>
      <c r="H50" s="31" t="str" cm="1">
        <f t="array" ref="H50">IF(ISNUMBER(SEARCH("; ",AF9)), TRIM(INDEX(_xlfn.TEXTSPLIT(AF9,"; "),1)), AF9)</f>
        <v>MiND12239JP-1</v>
      </c>
      <c r="I50" s="31" t="str" cm="1">
        <f t="array" ref="I50">IF(ISNUMBER(SEARCH("; ",AF9)), TRIM(INDEX(_xlfn.TEXTSPLIT(AF9,"; "),2)), "")</f>
        <v>NURG117311</v>
      </c>
      <c r="J50" s="9">
        <v>23</v>
      </c>
      <c r="K50" s="34" t="str">
        <v>10</v>
      </c>
      <c r="L50" s="34">
        <v>1</v>
      </c>
      <c r="M50" s="34">
        <v>0</v>
      </c>
      <c r="N50" s="34">
        <v>0</v>
      </c>
      <c r="O50" s="34">
        <v>0</v>
      </c>
      <c r="P50" s="9">
        <v>1</v>
      </c>
      <c r="Q50" s="37" cm="1">
        <f t="array" aca="1" ref="Q50" ca="1">_xlfn.LET(_xlpm.p,P50,_xlpm.e,E50,_xlpm.k,K50,_xlpm.b,INDEX($Y$54:$AJ$54,1,_xlpm.p),_xlpm.s,INDEX($Y$53:$AJ$53,1,_xlpm.p),IF(_xlpm.e="Undetermined","",IF(T50=1,"#N/A",IF(OR(_xlpm.p&lt;1,_xlpm.p&gt;12),"invalid std",_xlpm.k*10^((_xlpm.e-_xlpm.b)/_xlpm.s)))))</f>
        <v>31.532610257836325</v>
      </c>
      <c r="R50" s="37">
        <f t="shared" ca="1" si="0"/>
        <v>31.80170733306521</v>
      </c>
      <c r="S50" s="37" t="str">
        <f t="shared" ca="1" si="2"/>
        <v/>
      </c>
      <c r="T50" s="9">
        <v>0</v>
      </c>
      <c r="U50" s="10"/>
      <c r="W50" s="18">
        <v>0.64</v>
      </c>
      <c r="X50" s="80">
        <f t="shared" si="3"/>
        <v>-0.19382002601611281</v>
      </c>
      <c r="Y50" s="175">
        <f t="shared" si="4"/>
        <v>26.146330937108097</v>
      </c>
      <c r="Z50" s="175"/>
      <c r="AA50" s="175"/>
      <c r="AB50" s="175"/>
      <c r="AC50" s="175"/>
      <c r="AD50" s="180"/>
      <c r="AE50" s="181"/>
      <c r="AF50" s="182"/>
      <c r="AG50" s="183"/>
      <c r="AH50" s="182"/>
      <c r="AI50" s="135"/>
      <c r="AJ50" s="184"/>
      <c r="AK50" s="184"/>
      <c r="AN50" s="132"/>
      <c r="AO50" s="128"/>
      <c r="AP50" s="128"/>
      <c r="AQ50" s="128"/>
      <c r="AR50" s="13"/>
    </row>
    <row r="51" spans="1:44" x14ac:dyDescent="0.25">
      <c r="A51" s="25">
        <v>46</v>
      </c>
      <c r="B51" s="156" t="s">
        <v>88</v>
      </c>
      <c r="C51" s="162" t="s">
        <v>203</v>
      </c>
      <c r="D51" s="9" t="s">
        <v>204</v>
      </c>
      <c r="E51" s="163">
        <v>23.834068674636899</v>
      </c>
      <c r="F51" s="164">
        <v>80.918106079101506</v>
      </c>
      <c r="G51" s="171">
        <v>0.1</v>
      </c>
      <c r="H51" s="31" t="str" cm="1">
        <f t="array" ref="H51">IF(ISNUMBER(SEARCH("; ",AG9)), TRIM(INDEX(_xlfn.TEXTSPLIT(AG9,"; "),1)), AG9)</f>
        <v>MiND12239JP-1</v>
      </c>
      <c r="I51" s="31" t="str" cm="1">
        <f t="array" ref="I51">IF(ISNUMBER(SEARCH("; ",AG9)), TRIM(INDEX(_xlfn.TEXTSPLIT(AG9,"; "),2)), "")</f>
        <v>NURG117311</v>
      </c>
      <c r="J51" s="9">
        <v>23</v>
      </c>
      <c r="K51" s="34" t="str">
        <v>10</v>
      </c>
      <c r="L51" s="34">
        <v>1</v>
      </c>
      <c r="M51" s="34">
        <v>0</v>
      </c>
      <c r="N51" s="34">
        <v>0</v>
      </c>
      <c r="O51" s="34">
        <v>0</v>
      </c>
      <c r="P51" s="9">
        <v>1</v>
      </c>
      <c r="Q51" s="37" cm="1">
        <f t="array" aca="1" ref="Q51" ca="1">_xlfn.LET(_xlpm.p,P51,_xlpm.e,E51,_xlpm.k,K51,_xlpm.b,INDEX($Y$54:$AJ$54,1,_xlpm.p),_xlpm.s,INDEX($Y$53:$AJ$53,1,_xlpm.p),IF(_xlpm.e="Undetermined","",IF(T51=1,"#N/A",IF(OR(_xlpm.p&lt;1,_xlpm.p&gt;12),"invalid std",_xlpm.k*10^((_xlpm.e-_xlpm.b)/_xlpm.s)))))</f>
        <v>32.070804408294094</v>
      </c>
      <c r="R51" s="37">
        <f t="shared" ca="1" si="0"/>
        <v>31.80170733306521</v>
      </c>
      <c r="S51" s="37" t="str">
        <f t="shared" ca="1" si="2"/>
        <v/>
      </c>
      <c r="T51" s="9">
        <v>0</v>
      </c>
      <c r="U51" s="10"/>
      <c r="W51" s="18">
        <v>0.128</v>
      </c>
      <c r="X51" s="80">
        <f t="shared" si="3"/>
        <v>-0.89279003035213167</v>
      </c>
      <c r="Y51" s="175">
        <f t="shared" si="4"/>
        <v>28.359059577168701</v>
      </c>
      <c r="Z51" s="175"/>
      <c r="AA51" s="175"/>
      <c r="AB51" s="175"/>
      <c r="AC51" s="175"/>
      <c r="AD51" s="180"/>
      <c r="AE51" s="181"/>
      <c r="AF51" s="182"/>
      <c r="AG51" s="183"/>
      <c r="AH51" s="182"/>
      <c r="AI51" s="135"/>
      <c r="AJ51" s="184"/>
      <c r="AK51" s="184"/>
      <c r="AN51" s="128"/>
      <c r="AO51" s="128"/>
      <c r="AP51" s="128"/>
      <c r="AQ51" s="128"/>
      <c r="AR51" s="13"/>
    </row>
    <row r="52" spans="1:44" x14ac:dyDescent="0.25">
      <c r="A52" s="25">
        <v>47</v>
      </c>
      <c r="B52" s="156" t="s">
        <v>89</v>
      </c>
      <c r="C52" s="165" t="s">
        <v>203</v>
      </c>
      <c r="D52" s="166" t="s">
        <v>204</v>
      </c>
      <c r="E52" s="166">
        <v>21.979219056924901</v>
      </c>
      <c r="F52" s="164">
        <v>80.765129089355398</v>
      </c>
      <c r="G52" s="171">
        <v>0.1</v>
      </c>
      <c r="H52" s="31" t="str" cm="1">
        <f t="array" ref="H52">IF(ISNUMBER(SEARCH("; ",AH9)), TRIM(INDEX(_xlfn.TEXTSPLIT(AH9,"; "),1)), AH9)</f>
        <v>NFL-QC-H</v>
      </c>
      <c r="I52" s="31" t="str" cm="1">
        <f t="array" ref="I52">IF(ISNUMBER(SEARCH("; ",AH9)), TRIM(INDEX(_xlfn.TEXTSPLIT(AH9,"; "),2)), "")</f>
        <v/>
      </c>
      <c r="J52" s="9">
        <v>24</v>
      </c>
      <c r="K52" s="34" t="str">
        <v>10</v>
      </c>
      <c r="L52" s="34">
        <v>1</v>
      </c>
      <c r="M52" s="34">
        <v>0</v>
      </c>
      <c r="N52" s="34">
        <v>0</v>
      </c>
      <c r="O52" s="34">
        <v>0</v>
      </c>
      <c r="P52" s="9">
        <v>1</v>
      </c>
      <c r="Q52" s="37" cm="1">
        <f t="array" aca="1" ref="Q52" ca="1">_xlfn.LET(_xlpm.p,P52,_xlpm.e,E52,_xlpm.k,K52,_xlpm.b,INDEX($Y$54:$AJ$54,1,_xlpm.p),_xlpm.s,INDEX($Y$53:$AJ$53,1,_xlpm.p),IF(_xlpm.e="Undetermined","",IF(T52=1,"#N/A",IF(OR(_xlpm.p&lt;1,_xlpm.p&gt;12),"invalid std",_xlpm.k*10^((_xlpm.e-_xlpm.b)/_xlpm.s)))))</f>
        <v>117.67390234320706</v>
      </c>
      <c r="R52" s="37">
        <f t="shared" ca="1" si="0"/>
        <v>116.38724352624324</v>
      </c>
      <c r="S52" s="37" t="str">
        <f t="shared" ca="1" si="2"/>
        <v/>
      </c>
      <c r="T52" s="9">
        <v>0</v>
      </c>
      <c r="U52" s="10"/>
      <c r="W52" s="19">
        <v>0</v>
      </c>
      <c r="X52" s="80" t="str">
        <f>IFERROR(LOG10(W52),"")</f>
        <v/>
      </c>
      <c r="Y52" s="175">
        <f t="shared" si="4"/>
        <v>31.133972034467149</v>
      </c>
      <c r="Z52" s="185"/>
      <c r="AA52" s="178"/>
      <c r="AB52" s="185"/>
      <c r="AC52" s="178"/>
      <c r="AD52" s="185"/>
      <c r="AE52" s="178"/>
      <c r="AF52" s="185"/>
      <c r="AG52" s="178"/>
      <c r="AH52" s="185"/>
      <c r="AI52" s="178"/>
      <c r="AJ52" s="186"/>
      <c r="AK52" s="184"/>
      <c r="AO52" s="13"/>
      <c r="AP52" s="13"/>
    </row>
    <row r="53" spans="1:44" x14ac:dyDescent="0.25">
      <c r="A53" s="25">
        <v>48</v>
      </c>
      <c r="B53" s="157" t="s">
        <v>90</v>
      </c>
      <c r="C53" s="167" t="s">
        <v>203</v>
      </c>
      <c r="D53" s="168" t="s">
        <v>204</v>
      </c>
      <c r="E53" s="168">
        <v>22.010767700582001</v>
      </c>
      <c r="F53" s="169">
        <v>80.765129089355398</v>
      </c>
      <c r="G53" s="172">
        <v>0.1</v>
      </c>
      <c r="H53" s="32" t="str" cm="1">
        <f t="array" ref="H53">IF(ISNUMBER(SEARCH("; ",AI9)), TRIM(INDEX(_xlfn.TEXTSPLIT(AI9,"; "),1)), AI9)</f>
        <v>NFL-QC-H</v>
      </c>
      <c r="I53" s="32" t="str" cm="1">
        <f t="array" ref="I53">IF(ISNUMBER(SEARCH("; ",AI9)), TRIM(INDEX(_xlfn.TEXTSPLIT(AI9,"; "),2)), "")</f>
        <v/>
      </c>
      <c r="J53" s="11">
        <v>24</v>
      </c>
      <c r="K53" s="35" t="str">
        <v>10</v>
      </c>
      <c r="L53" s="35">
        <v>1</v>
      </c>
      <c r="M53" s="35">
        <v>0</v>
      </c>
      <c r="N53" s="35">
        <v>0</v>
      </c>
      <c r="O53" s="35">
        <v>0</v>
      </c>
      <c r="P53" s="11">
        <v>1</v>
      </c>
      <c r="Q53" s="38" cm="1">
        <f t="array" aca="1" ref="Q53" ca="1">_xlfn.LET(_xlpm.p,P53,_xlpm.e,E53,_xlpm.k,K53,_xlpm.b,INDEX($Y$54:$AJ$54,1,_xlpm.p),_xlpm.s,INDEX($Y$53:$AJ$53,1,_xlpm.p),IF(_xlpm.e="Undetermined","",IF(T53=1,"#N/A",IF(OR(_xlpm.p&lt;1,_xlpm.p&gt;12),"invalid std",_xlpm.k*10^((_xlpm.e-_xlpm.b)/_xlpm.s)))))</f>
        <v>115.10058470927942</v>
      </c>
      <c r="R53" s="38">
        <f t="shared" ca="1" si="0"/>
        <v>116.38724352624324</v>
      </c>
      <c r="S53" s="38" t="str">
        <f t="shared" ca="1" si="2"/>
        <v/>
      </c>
      <c r="T53" s="11">
        <v>0</v>
      </c>
      <c r="U53" s="12"/>
      <c r="W53" s="24"/>
      <c r="X53" s="47" t="s">
        <v>91</v>
      </c>
      <c r="Y53" s="48" cm="1">
        <f t="array" aca="1" ref="Y53" ca="1">IFERROR(INDEX(LINEST(OFFSET(Y45,0,0,MIN(COUNT(Y45:Y51),COUNT($X$45:$X$51))), OFFSET($X$45,0,0,MIN(COUNT(Y45:Y51),COUNT($X$45:$X$51)))),1), "")</f>
        <v>-3.2854183236799219</v>
      </c>
      <c r="Z53" s="49" t="str" cm="1">
        <f t="array" aca="1" ref="Z53" ca="1">IFERROR(INDEX(LINEST(OFFSET(Z45,0,0,MIN(COUNT(Z45:Z51),COUNT($X$45:$X$51))), OFFSET($X$45,0,0,MIN(COUNT(Z45:Z51),COUNT($X$45:$X$51)))),1), "")</f>
        <v/>
      </c>
      <c r="AA53" s="50" t="str" cm="1">
        <f t="array" aca="1" ref="AA53" ca="1">IFERROR(INDEX(LINEST(OFFSET(AA45,0,0,MIN(COUNT(AA45:AA51),COUNT($X$45:$X$51))), OFFSET($X$45,0,0,MIN(COUNT(AA45:AA51),COUNT($X$45:$X$51)))),1), "")</f>
        <v/>
      </c>
      <c r="AB53" s="49" t="str" cm="1">
        <f t="array" aca="1" ref="AB53" ca="1">IFERROR(INDEX(LINEST(OFFSET(AB45,0,0,MIN(COUNT(AB45:AB51),COUNT($X$45:$X$51))), OFFSET($X$45,0,0,MIN(COUNT(AB45:AB51),COUNT($X$45:$X$51)))),1), "")</f>
        <v/>
      </c>
      <c r="AC53" s="50" t="str" cm="1">
        <f t="array" aca="1" ref="AC53" ca="1">IFERROR(INDEX(LINEST(OFFSET(AC45,0,0,MIN(COUNT(AC45:AC51),COUNT($X$45:$X$51))), OFFSET($X$45,0,0,MIN(COUNT(AC45:AC51),COUNT($X$45:$X$51)))),1), "")</f>
        <v/>
      </c>
      <c r="AD53" s="49" t="str" cm="1">
        <f t="array" aca="1" ref="AD53" ca="1">IFERROR(INDEX(LINEST(OFFSET(AD45,0,0,MIN(COUNT(AD45:AD51),COUNT($X$45:$X$51))), OFFSET($X$45,0,0,MIN(COUNT(AD45:AD51),COUNT($X$45:$X$51)))),1), "")</f>
        <v/>
      </c>
      <c r="AE53" s="50" t="str" cm="1">
        <f t="array" aca="1" ref="AE53" ca="1">IFERROR(INDEX(LINEST(OFFSET(AE45,0,0,MIN(COUNT(AE45:AE51),COUNT($X$45:$X$51))), OFFSET($X$45,0,0,MIN(COUNT(AE45:AE51),COUNT($X$45:$X$51)))),1), "")</f>
        <v/>
      </c>
      <c r="AF53" s="49" t="str" cm="1">
        <f t="array" aca="1" ref="AF53" ca="1">IFERROR(INDEX(LINEST(OFFSET(AF45,0,0,MIN(COUNT(AF45:AF51),COUNT($X$45:$X$51))), OFFSET($X$45,0,0,MIN(COUNT(AF45:AF51),COUNT($X$45:$X$51)))),1), "")</f>
        <v/>
      </c>
      <c r="AG53" s="120" t="str" cm="1">
        <f t="array" aca="1" ref="AG53" ca="1">IFERROR(INDEX(LINEST(OFFSET(AG45,0,0,MIN(COUNT(AG45:AG51),COUNT($X$45:$X$51))), OFFSET($X$45,0,0,MIN(COUNT(AG45:AG51),COUNT($X$45:$X$51)))),1), "")</f>
        <v/>
      </c>
      <c r="AH53" s="50" t="str" cm="1">
        <f t="array" aca="1" ref="AH53" ca="1">IFERROR(INDEX(LINEST(OFFSET(AH45,0,0,MIN(COUNT(AH45:AH51),COUNT($X$45:$X$51))), OFFSET($X$45,0,0,MIN(COUNT(AH45:AH51),COUNT($X$45:$X$51)))),1), "")</f>
        <v/>
      </c>
      <c r="AI53" s="49" t="str" cm="1">
        <f t="array" aca="1" ref="AI53" ca="1">IFERROR(INDEX(LINEST(OFFSET(AI45,0,0,MIN(COUNT(AI45:AI51),COUNT($X$45:$X$51))), OFFSET($X$45,0,0,MIN(COUNT(AI45:AI51),COUNT($X$45:$X$51)))),1), "")</f>
        <v/>
      </c>
      <c r="AJ53" s="120" t="str" cm="1">
        <f t="array" aca="1" ref="AJ53" ca="1">IFERROR(INDEX(LINEST(OFFSET(AJ45,0,0,MIN(COUNT(AJ45:AJ51),COUNT($X$45:$X$51))), OFFSET($X$45,0,0,MIN(COUNT(AJ45:AJ51),COUNT($X$45:$X$51)))),1), "")</f>
        <v/>
      </c>
      <c r="AK53" s="197"/>
      <c r="AL53" s="13"/>
      <c r="AM53" s="13"/>
      <c r="AO53" s="13"/>
      <c r="AP53" s="13"/>
    </row>
    <row r="54" spans="1:44" x14ac:dyDescent="0.25">
      <c r="A54" s="24">
        <v>49</v>
      </c>
      <c r="B54" s="156" t="s">
        <v>92</v>
      </c>
      <c r="C54" s="162" t="s">
        <v>203</v>
      </c>
      <c r="D54" s="9" t="s">
        <v>204</v>
      </c>
      <c r="E54" s="163">
        <v>25.062287986813502</v>
      </c>
      <c r="F54" s="164">
        <v>80.803367614746094</v>
      </c>
      <c r="G54" s="8">
        <v>0.1</v>
      </c>
      <c r="H54" s="31" t="str" cm="1">
        <f t="array" ref="H54">IF(ISNUMBER(SEARCH("; ",X10)), TRIM(INDEX(_xlfn.TEXTSPLIT(X10,"; "),1)), X10)</f>
        <v>MiND25146DS-1</v>
      </c>
      <c r="I54" s="31" t="str" cm="1">
        <f t="array" ref="I54">IF(ISNUMBER(SEARCH("; ",X10)), TRIM(INDEX(_xlfn.TEXTSPLIT(X10,"; "),2)), "")</f>
        <v>NURF545234</v>
      </c>
      <c r="J54" s="9">
        <v>25</v>
      </c>
      <c r="K54" s="34" t="str" cm="1">
        <f t="array" ref="K54:K65">TRANSPOSE(RIGHT(LEFT(X21:AI21,FIND(";",X21:AI21)-1),LEN(LEFT(X21:AI21,FIND(";",X21:AI21)-1))-1))</f>
        <v>10</v>
      </c>
      <c r="L54" s="34" cm="1">
        <f t="array" ref="L54:L65">TRANSPOSE(IF(ISNUMBER(SEARCH("v1",X21:AI21)),1,0))</f>
        <v>1</v>
      </c>
      <c r="M54" s="34" cm="1">
        <f t="array" ref="M54:M65">TRANSPOSE(IF(ISNUMBER(SEARCH("v2",X21:AI21)),1,0))</f>
        <v>0</v>
      </c>
      <c r="N54" s="34" cm="1">
        <f t="array" ref="N54:N65">TRANSPOSE(IF(ISNUMBER(SEARCH("v3",X21:AI21)),1,0))</f>
        <v>0</v>
      </c>
      <c r="O54" s="34" cm="1">
        <f t="array" ref="O54:O65">TRANSPOSE(IF(ISNUMBER(SEARCH("v4",X21:AI21)),1,0))</f>
        <v>0</v>
      </c>
      <c r="P54" s="9">
        <v>1</v>
      </c>
      <c r="Q54" s="37" cm="1">
        <f t="array" aca="1" ref="Q54" ca="1">_xlfn.LET(_xlpm.p,P54,_xlpm.e,E54,_xlpm.k,K54,_xlpm.b,INDEX($Y$54:$AJ$54,1,_xlpm.p),_xlpm.s,INDEX($Y$53:$AJ$53,1,_xlpm.p),IF(_xlpm.e="Undetermined","",IF(T54=1,"#N/A",IF(OR(_xlpm.p&lt;1,_xlpm.p&gt;12),"invalid std",_xlpm.k*10^((_xlpm.e-_xlpm.b)/_xlpm.s)))))</f>
        <v>13.560331351054904</v>
      </c>
      <c r="R54" s="37">
        <f t="shared" ca="1" si="0"/>
        <v>13.922718366828972</v>
      </c>
      <c r="S54" s="37" t="str">
        <f t="shared" ca="1" si="2"/>
        <v/>
      </c>
      <c r="T54" s="9">
        <v>0</v>
      </c>
      <c r="U54" s="10"/>
      <c r="W54" s="51"/>
      <c r="X54" s="52" t="s">
        <v>93</v>
      </c>
      <c r="Y54" s="53" cm="1">
        <f t="array" aca="1" ref="Y54" ca="1">IFERROR(INDEX(LINEST(OFFSET(Y45,0,0,MIN(COUNT(Y45:Y51),COUNT($X$45:$X$51))), OFFSET($X$45,0,0,MIN(COUNT(Y45:Y51),COUNT($X$45:$X$51)))),2), "")</f>
        <v>25.496851259979739</v>
      </c>
      <c r="Z54" s="54" t="str" cm="1">
        <f t="array" aca="1" ref="Z54" ca="1">IFERROR(INDEX(LINEST(OFFSET(Z45,0,0,MIN(COUNT(Z45:Z51),COUNT($X$45:$X$51))), OFFSET($X$45,0,0,MIN(COUNT(Z45:Z51),COUNT($X$45:$X$51)))),2), "")</f>
        <v/>
      </c>
      <c r="AA54" s="55" t="str" cm="1">
        <f t="array" aca="1" ref="AA54" ca="1">IFERROR(INDEX(LINEST(OFFSET(AA45,0,0,MIN(COUNT(AA45:AA51),COUNT($X$45:$X$51))), OFFSET($X$45,0,0,MIN(COUNT(AA45:AA51),COUNT($X$45:$X$51)))),2), "")</f>
        <v/>
      </c>
      <c r="AB54" s="54" t="str" cm="1">
        <f t="array" aca="1" ref="AB54" ca="1">IFERROR(INDEX(LINEST(OFFSET(AB45,0,0,MIN(COUNT(AB45:AB51),COUNT($X$45:$X$51))), OFFSET($X$45,0,0,MIN(COUNT(AB45:AB51),COUNT($X$45:$X$51)))),2), "")</f>
        <v/>
      </c>
      <c r="AC54" s="55" t="str" cm="1">
        <f t="array" aca="1" ref="AC54" ca="1">IFERROR(INDEX(LINEST(OFFSET(AC45,0,0,MIN(COUNT(AC45:AC51),COUNT($X$45:$X$51))), OFFSET($X$45,0,0,MIN(COUNT(AC45:AC51),COUNT($X$45:$X$51)))),2), "")</f>
        <v/>
      </c>
      <c r="AD54" s="54" t="str" cm="1">
        <f t="array" aca="1" ref="AD54" ca="1">IFERROR(INDEX(LINEST(OFFSET(AD45,0,0,MIN(COUNT(AD45:AD51),COUNT($X$45:$X$51))), OFFSET($X$45,0,0,MIN(COUNT(AD45:AD51),COUNT($X$45:$X$51)))),2), "")</f>
        <v/>
      </c>
      <c r="AE54" s="55" t="str" cm="1">
        <f t="array" aca="1" ref="AE54" ca="1">IFERROR(INDEX(LINEST(OFFSET(AE45,0,0,MIN(COUNT(AE45:AE51),COUNT($X$45:$X$51))), OFFSET($X$45,0,0,MIN(COUNT(AE45:AE51),COUNT($X$45:$X$51)))),2), "")</f>
        <v/>
      </c>
      <c r="AF54" s="54" t="str" cm="1">
        <f t="array" aca="1" ref="AF54" ca="1">IFERROR(INDEX(LINEST(OFFSET(AF45,0,0,MIN(COUNT(AF45:AF51),COUNT($X$45:$X$51))), OFFSET($X$45,0,0,MIN(COUNT(AF45:AF51),COUNT($X$45:$X$51)))),2), "")</f>
        <v/>
      </c>
      <c r="AG54" s="121" t="str" cm="1">
        <f t="array" aca="1" ref="AG54" ca="1">IFERROR(INDEX(LINEST(OFFSET(AG45,0,0,MIN(COUNT(AG45:AG51),COUNT($X$45:$X$51))), OFFSET($X$45,0,0,MIN(COUNT(AG45:AG51),COUNT($X$45:$X$51)))),2), "")</f>
        <v/>
      </c>
      <c r="AH54" s="55" t="str" cm="1">
        <f t="array" aca="1" ref="AH54" ca="1">IFERROR(INDEX(LINEST(OFFSET(AH45,0,0,MIN(COUNT(AH45:AH51),COUNT($X$45:$X$51))), OFFSET($X$45,0,0,MIN(COUNT(AH45:AH51),COUNT($X$45:$X$51)))),2), "")</f>
        <v/>
      </c>
      <c r="AI54" s="54" t="str" cm="1">
        <f t="array" aca="1" ref="AI54" ca="1">IFERROR(INDEX(LINEST(OFFSET(AI45,0,0,MIN(COUNT(AI45:AI51),COUNT($X$45:$X$51))), OFFSET($X$45,0,0,MIN(COUNT(AI45:AI51),COUNT($X$45:$X$51)))),2), "")</f>
        <v/>
      </c>
      <c r="AJ54" s="121" t="str" cm="1">
        <f t="array" aca="1" ref="AJ54" ca="1">IFERROR(INDEX(LINEST(OFFSET(AJ45,0,0,MIN(COUNT(AJ45:AJ51),COUNT($X$45:$X$51))), OFFSET($X$45,0,0,MIN(COUNT(AJ45:AJ51),COUNT($X$45:$X$51)))),2), "")</f>
        <v/>
      </c>
      <c r="AK54" s="199"/>
      <c r="AL54" s="13"/>
      <c r="AM54" s="13"/>
      <c r="AO54" s="13"/>
      <c r="AP54" s="13"/>
    </row>
    <row r="55" spans="1:44" x14ac:dyDescent="0.25">
      <c r="A55" s="25">
        <v>50</v>
      </c>
      <c r="B55" s="156" t="s">
        <v>94</v>
      </c>
      <c r="C55" s="162" t="s">
        <v>203</v>
      </c>
      <c r="D55" s="9" t="s">
        <v>204</v>
      </c>
      <c r="E55" s="163">
        <v>24.987994340036298</v>
      </c>
      <c r="F55" s="164">
        <v>80.803367614746094</v>
      </c>
      <c r="G55" s="8">
        <v>0.1</v>
      </c>
      <c r="H55" s="31" t="str" cm="1">
        <f t="array" ref="H55">IF(ISNUMBER(SEARCH("; ",Y10)), TRIM(INDEX(_xlfn.TEXTSPLIT(Y10,"; "),1)), Y10)</f>
        <v>MiND25146DS-1</v>
      </c>
      <c r="I55" s="31" t="str" cm="1">
        <f t="array" ref="I55">IF(ISNUMBER(SEARCH("; ",Y10)), TRIM(INDEX(_xlfn.TEXTSPLIT(Y10,"; "),2)), "")</f>
        <v>NURF545234</v>
      </c>
      <c r="J55" s="9">
        <v>25</v>
      </c>
      <c r="K55" s="34" t="str">
        <v>10</v>
      </c>
      <c r="L55" s="34">
        <v>1</v>
      </c>
      <c r="M55" s="34">
        <v>0</v>
      </c>
      <c r="N55" s="34">
        <v>0</v>
      </c>
      <c r="O55" s="34">
        <v>0</v>
      </c>
      <c r="P55" s="9">
        <v>1</v>
      </c>
      <c r="Q55" s="37" cm="1">
        <f t="array" aca="1" ref="Q55" ca="1">_xlfn.LET(_xlpm.p,P55,_xlpm.e,E55,_xlpm.k,K55,_xlpm.b,INDEX($Y$54:$AJ$54,1,_xlpm.p),_xlpm.s,INDEX($Y$53:$AJ$53,1,_xlpm.p),IF(_xlpm.e="Undetermined","",IF(T55=1,"#N/A",IF(OR(_xlpm.p&lt;1,_xlpm.p&gt;12),"invalid std",_xlpm.k*10^((_xlpm.e-_xlpm.b)/_xlpm.s)))))</f>
        <v>14.285105382603041</v>
      </c>
      <c r="R55" s="37">
        <f t="shared" ca="1" si="0"/>
        <v>13.922718366828972</v>
      </c>
      <c r="S55" s="37" t="str">
        <f t="shared" ca="1" si="2"/>
        <v/>
      </c>
      <c r="T55" s="9">
        <v>0</v>
      </c>
      <c r="U55" s="10"/>
      <c r="W55" s="56"/>
      <c r="X55" s="57" t="s">
        <v>95</v>
      </c>
      <c r="Y55" s="58">
        <f ca="1">IFERROR(RSQ(OFFSET(Y45,0,0,MIN(COUNT(Y45:Y51),COUNT($X$45:$X$51))), OFFSET($X$45,0,0,MIN(COUNT(Y45:Y51),COUNT($X$45:$X$51)))), "")</f>
        <v>0.99991558488398602</v>
      </c>
      <c r="Z55" s="59" t="str">
        <f t="shared" ref="Z55:AD55" ca="1" si="5">IFERROR(RSQ(OFFSET(Z45,0,0,MIN(COUNT(Z45:Z51),COUNT($X$45:$X$51))), OFFSET($X$45,0,0,MIN(COUNT(Z45:Z51),COUNT($X$45:$X$51)))), "")</f>
        <v/>
      </c>
      <c r="AA55" s="60" t="str">
        <f t="shared" ca="1" si="5"/>
        <v/>
      </c>
      <c r="AB55" s="59" t="str">
        <f t="shared" ca="1" si="5"/>
        <v/>
      </c>
      <c r="AC55" s="60" t="str">
        <f t="shared" ca="1" si="5"/>
        <v/>
      </c>
      <c r="AD55" s="117" t="str">
        <f t="shared" ca="1" si="5"/>
        <v/>
      </c>
      <c r="AE55" s="119" t="str">
        <f t="shared" ref="AE55:AH55" ca="1" si="6">IFERROR(RSQ(OFFSET(AE45,0,0,MIN(COUNT(AE45:AE51),COUNT($X$45:$X$51))), OFFSET($X$45,0,0,MIN(COUNT(AE45:AE51),COUNT($X$45:$X$51)))), "")</f>
        <v/>
      </c>
      <c r="AF55" s="117" t="str">
        <f ca="1">IFERROR(RSQ(OFFSET(AF45,0,0,MIN(COUNT(AF45:AF51),COUNT($X$45:$X$51))), OFFSET($X$45,0,0,MIN(COUNT(AF45:AF51),COUNT($X$45:$X$51)))), "")</f>
        <v/>
      </c>
      <c r="AG55" s="122" t="str">
        <f t="shared" ca="1" si="6"/>
        <v/>
      </c>
      <c r="AH55" s="119" t="str">
        <f t="shared" ca="1" si="6"/>
        <v/>
      </c>
      <c r="AI55" s="117" t="str">
        <f ca="1">IFERROR(RSQ(OFFSET(AI45,0,0,MIN(COUNT(AI45:AI51),COUNT($X$45:$X$51))), OFFSET($X$45,0,0,MIN(COUNT(AI45:AI51),COUNT($X$45:$X$51)))), "")</f>
        <v/>
      </c>
      <c r="AJ55" s="122" t="str">
        <f ca="1">IFERROR(RSQ(OFFSET(AJ45,0,0,MIN(COUNT(AJ45:AJ51),COUNT($X$45:$X$51))), OFFSET($X$45,0,0,MIN(COUNT(AJ45:AJ51),COUNT($X$45:$X$51)))), "")</f>
        <v/>
      </c>
      <c r="AK55" s="199"/>
      <c r="AL55" s="13"/>
      <c r="AM55" s="13"/>
      <c r="AO55" s="13"/>
      <c r="AP55" s="13"/>
    </row>
    <row r="56" spans="1:44" x14ac:dyDescent="0.25">
      <c r="A56" s="25">
        <v>51</v>
      </c>
      <c r="B56" s="156" t="s">
        <v>96</v>
      </c>
      <c r="C56" s="162" t="s">
        <v>203</v>
      </c>
      <c r="D56" s="9" t="s">
        <v>204</v>
      </c>
      <c r="E56" s="163">
        <v>25.128453720789398</v>
      </c>
      <c r="F56" s="164">
        <v>80.959739685058594</v>
      </c>
      <c r="G56" s="8">
        <v>0.1</v>
      </c>
      <c r="H56" s="31" t="str" cm="1">
        <f t="array" ref="H56">IF(ISNUMBER(SEARCH("; ",Z10)), TRIM(INDEX(_xlfn.TEXTSPLIT(Z10,"; "),1)), Z10)</f>
        <v>MiND12234JM-1</v>
      </c>
      <c r="I56" s="31" t="str" cm="1">
        <f t="array" ref="I56">IF(ISNUMBER(SEARCH("; ",Z10)), TRIM(INDEX(_xlfn.TEXTSPLIT(Z10,"; "),2)), "")</f>
        <v>NURF899481</v>
      </c>
      <c r="J56" s="9">
        <v>26</v>
      </c>
      <c r="K56" s="34" t="str">
        <v>10</v>
      </c>
      <c r="L56" s="34">
        <v>1</v>
      </c>
      <c r="M56" s="34">
        <v>0</v>
      </c>
      <c r="N56" s="34">
        <v>0</v>
      </c>
      <c r="O56" s="34">
        <v>0</v>
      </c>
      <c r="P56" s="9">
        <v>1</v>
      </c>
      <c r="Q56" s="37" cm="1">
        <f t="array" aca="1" ref="Q56" ca="1">_xlfn.LET(_xlpm.p,P56,_xlpm.e,E56,_xlpm.k,K56,_xlpm.b,INDEX($Y$54:$AJ$54,1,_xlpm.p),_xlpm.s,INDEX($Y$53:$AJ$53,1,_xlpm.p),IF(_xlpm.e="Undetermined","",IF(T56=1,"#N/A",IF(OR(_xlpm.p&lt;1,_xlpm.p&gt;12),"invalid std",_xlpm.k*10^((_xlpm.e-_xlpm.b)/_xlpm.s)))))</f>
        <v>12.945865494117896</v>
      </c>
      <c r="R56" s="37">
        <f t="shared" ca="1" si="0"/>
        <v>12.97757963137615</v>
      </c>
      <c r="S56" s="37" t="str">
        <f t="shared" ca="1" si="2"/>
        <v/>
      </c>
      <c r="T56" s="9">
        <v>0</v>
      </c>
      <c r="U56" s="10"/>
      <c r="W56" s="61"/>
      <c r="X56" s="62" t="s">
        <v>97</v>
      </c>
      <c r="Y56" s="63">
        <f t="shared" ref="Y56:AB56" ca="1" si="7">IFERROR((10^(-1/Y53))-1, "")</f>
        <v>1.015464916887677</v>
      </c>
      <c r="Z56" s="63" t="str">
        <f t="shared" ca="1" si="7"/>
        <v/>
      </c>
      <c r="AA56" s="63" t="str">
        <f t="shared" ca="1" si="7"/>
        <v/>
      </c>
      <c r="AB56" s="118" t="str">
        <f t="shared" ca="1" si="7"/>
        <v/>
      </c>
      <c r="AC56" s="63" t="str">
        <f ca="1">IFERROR((10^(-1/AC53))-1, "")</f>
        <v/>
      </c>
      <c r="AD56" s="123" t="str">
        <f t="shared" ref="AD56" ca="1" si="8">IFERROR((10^(-1/AD53))-1, "")</f>
        <v/>
      </c>
      <c r="AE56" s="63" t="str">
        <f t="shared" ref="AE56:AI56" ca="1" si="9">IFERROR((10^(-1/AE53))-1, "")</f>
        <v/>
      </c>
      <c r="AF56" s="123" t="str">
        <f t="shared" ca="1" si="9"/>
        <v/>
      </c>
      <c r="AG56" s="118" t="str">
        <f t="shared" ca="1" si="9"/>
        <v/>
      </c>
      <c r="AH56" s="63" t="str">
        <f t="shared" ca="1" si="9"/>
        <v/>
      </c>
      <c r="AI56" s="123" t="str">
        <f t="shared" ca="1" si="9"/>
        <v/>
      </c>
      <c r="AJ56" s="118" t="str">
        <f t="shared" ref="AJ56" ca="1" si="10">IFERROR((10^(-1/AJ53))-1, "")</f>
        <v/>
      </c>
      <c r="AK56" s="199"/>
      <c r="AL56" s="13"/>
      <c r="AM56" s="13"/>
      <c r="AO56" s="13"/>
      <c r="AP56" s="13"/>
    </row>
    <row r="57" spans="1:44" x14ac:dyDescent="0.25">
      <c r="A57" s="25">
        <v>52</v>
      </c>
      <c r="B57" s="156" t="s">
        <v>98</v>
      </c>
      <c r="C57" s="162" t="s">
        <v>203</v>
      </c>
      <c r="D57" s="9" t="s">
        <v>204</v>
      </c>
      <c r="E57" s="163">
        <v>25.121479992127899</v>
      </c>
      <c r="F57" s="164">
        <v>80.959739685058594</v>
      </c>
      <c r="G57" s="8">
        <v>0.1</v>
      </c>
      <c r="H57" s="31" t="str" cm="1">
        <f t="array" ref="H57">IF(ISNUMBER(SEARCH("; ",AA10)), TRIM(INDEX(_xlfn.TEXTSPLIT(AA10,"; "),1)), AA10)</f>
        <v>MiND12234JM-1</v>
      </c>
      <c r="I57" s="31" t="str" cm="1">
        <f t="array" ref="I57">IF(ISNUMBER(SEARCH("; ",AA10)), TRIM(INDEX(_xlfn.TEXTSPLIT(AA10,"; "),2)), "")</f>
        <v>NURF899481</v>
      </c>
      <c r="J57" s="9">
        <v>26</v>
      </c>
      <c r="K57" s="34" t="str">
        <v>10</v>
      </c>
      <c r="L57" s="34">
        <v>1</v>
      </c>
      <c r="M57" s="34">
        <v>0</v>
      </c>
      <c r="N57" s="34">
        <v>0</v>
      </c>
      <c r="O57" s="34">
        <v>0</v>
      </c>
      <c r="P57" s="9">
        <v>1</v>
      </c>
      <c r="Q57" s="37" cm="1">
        <f t="array" aca="1" ref="Q57" ca="1">_xlfn.LET(_xlpm.p,P57,_xlpm.e,E57,_xlpm.k,K57,_xlpm.b,INDEX($Y$54:$AJ$54,1,_xlpm.p),_xlpm.s,INDEX($Y$53:$AJ$53,1,_xlpm.p),IF(_xlpm.e="Undetermined","",IF(T57=1,"#N/A",IF(OR(_xlpm.p&lt;1,_xlpm.p&gt;12),"invalid std",_xlpm.k*10^((_xlpm.e-_xlpm.b)/_xlpm.s)))))</f>
        <v>13.009293768634404</v>
      </c>
      <c r="R57" s="37">
        <f t="shared" ca="1" si="0"/>
        <v>12.97757963137615</v>
      </c>
      <c r="S57" s="37" t="str">
        <f t="shared" ca="1" si="2"/>
        <v/>
      </c>
      <c r="T57" s="9">
        <v>0</v>
      </c>
      <c r="U57" s="10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K57" s="199"/>
      <c r="AL57" s="13"/>
      <c r="AM57" s="13"/>
      <c r="AO57" s="13"/>
      <c r="AP57" s="13"/>
    </row>
    <row r="58" spans="1:44" x14ac:dyDescent="0.25">
      <c r="A58" s="25">
        <v>53</v>
      </c>
      <c r="B58" s="156" t="s">
        <v>99</v>
      </c>
      <c r="C58" s="162" t="s">
        <v>203</v>
      </c>
      <c r="D58" s="9" t="s">
        <v>204</v>
      </c>
      <c r="E58" s="163">
        <v>23.8281554313443</v>
      </c>
      <c r="F58" s="164">
        <v>80.918701171875</v>
      </c>
      <c r="G58" s="8">
        <v>0.1</v>
      </c>
      <c r="H58" s="31" t="str" cm="1">
        <f t="array" ref="H58">IF(ISNUMBER(SEARCH("; ",AB10)), TRIM(INDEX(_xlfn.TEXTSPLIT(AB10,"; "),1)), AB10)</f>
        <v>std1[3.2]_progen#62008</v>
      </c>
      <c r="I58" s="31" t="str" cm="1">
        <f t="array" ref="I58">IF(ISNUMBER(SEARCH("; ",AB10)), TRIM(INDEX(_xlfn.TEXTSPLIT(AB10,"; "),2)), "")</f>
        <v/>
      </c>
      <c r="J58" s="9">
        <v>27</v>
      </c>
      <c r="K58" s="34" t="str">
        <v>1</v>
      </c>
      <c r="L58" s="34">
        <v>1</v>
      </c>
      <c r="M58" s="34">
        <v>0</v>
      </c>
      <c r="N58" s="34">
        <v>0</v>
      </c>
      <c r="O58" s="34">
        <v>0</v>
      </c>
      <c r="P58" s="9">
        <v>1</v>
      </c>
      <c r="Q58" s="37" cm="1">
        <f t="array" aca="1" ref="Q58" ca="1">_xlfn.LET(_xlpm.p,P58,_xlpm.e,E58,_xlpm.k,K58,_xlpm.b,INDEX($Y$54:$AJ$54,1,_xlpm.p),_xlpm.s,INDEX($Y$53:$AJ$53,1,_xlpm.p),IF(_xlpm.e="Undetermined","",IF(T58=1,"#N/A",IF(OR(_xlpm.p&lt;1,_xlpm.p&gt;12),"invalid std",_xlpm.k*10^((_xlpm.e-_xlpm.b)/_xlpm.s)))))</f>
        <v>3.2203991105073366</v>
      </c>
      <c r="R58" s="37">
        <f t="shared" ca="1" si="0"/>
        <v>3.0895289158242445</v>
      </c>
      <c r="S58" s="37">
        <f t="shared" ca="1" si="2"/>
        <v>1.0063747220335426</v>
      </c>
      <c r="T58" s="9">
        <v>0</v>
      </c>
      <c r="U58" s="10"/>
      <c r="W58" s="4"/>
      <c r="X58" s="2"/>
      <c r="Y58" s="2"/>
      <c r="AA58" s="2"/>
      <c r="AB58" s="2"/>
      <c r="AC58" s="2"/>
      <c r="AD58" s="2"/>
      <c r="AE58" s="2"/>
      <c r="AF58" s="2"/>
      <c r="AG58" s="2"/>
      <c r="AH58" s="2"/>
      <c r="AI58" s="2"/>
      <c r="AK58" s="184"/>
      <c r="AO58" s="13"/>
      <c r="AP58" s="13"/>
    </row>
    <row r="59" spans="1:44" x14ac:dyDescent="0.25">
      <c r="A59" s="25">
        <v>54</v>
      </c>
      <c r="B59" s="156" t="s">
        <v>100</v>
      </c>
      <c r="C59" s="165" t="s">
        <v>203</v>
      </c>
      <c r="D59" s="166" t="s">
        <v>204</v>
      </c>
      <c r="E59" s="166">
        <v>23.949107533554798</v>
      </c>
      <c r="F59" s="164">
        <v>80.918701171875</v>
      </c>
      <c r="G59" s="8">
        <v>0.1</v>
      </c>
      <c r="H59" s="31" t="str" cm="1">
        <f t="array" ref="H59">IF(ISNUMBER(SEARCH("; ",AC10)), TRIM(INDEX(_xlfn.TEXTSPLIT(AC10,"; "),1)), AC10)</f>
        <v>std1[3.2]_progen#62008</v>
      </c>
      <c r="I59" s="31" t="str" cm="1">
        <f t="array" ref="I59">IF(ISNUMBER(SEARCH("; ",AC10)), TRIM(INDEX(_xlfn.TEXTSPLIT(AC10,"; "),2)), "")</f>
        <v/>
      </c>
      <c r="J59" s="9">
        <v>27</v>
      </c>
      <c r="K59" s="34" t="str">
        <v>1</v>
      </c>
      <c r="L59" s="34">
        <v>1</v>
      </c>
      <c r="M59" s="34">
        <v>0</v>
      </c>
      <c r="N59" s="34">
        <v>0</v>
      </c>
      <c r="O59" s="34">
        <v>0</v>
      </c>
      <c r="P59" s="9">
        <v>1</v>
      </c>
      <c r="Q59" s="37" cm="1">
        <f t="array" aca="1" ref="Q59" ca="1">_xlfn.LET(_xlpm.p,P59,_xlpm.e,E59,_xlpm.k,K59,_xlpm.b,INDEX($Y$54:$AJ$54,1,_xlpm.p),_xlpm.s,INDEX($Y$53:$AJ$53,1,_xlpm.p),IF(_xlpm.e="Undetermined","",IF(T59=1,"#N/A",IF(OR(_xlpm.p&lt;1,_xlpm.p&gt;12),"invalid std",_xlpm.k*10^((_xlpm.e-_xlpm.b)/_xlpm.s)))))</f>
        <v>2.9586587211411524</v>
      </c>
      <c r="R59" s="37">
        <f t="shared" ca="1" si="0"/>
        <v>3.0895289158242445</v>
      </c>
      <c r="S59" s="37">
        <f t="shared" ca="1" si="2"/>
        <v>0.92458085035661008</v>
      </c>
      <c r="T59" s="9">
        <v>0</v>
      </c>
      <c r="U59" s="10"/>
      <c r="W59" s="39" t="s">
        <v>155</v>
      </c>
      <c r="AK59" s="184"/>
      <c r="AO59" s="13"/>
      <c r="AP59" s="13"/>
    </row>
    <row r="60" spans="1:44" x14ac:dyDescent="0.25">
      <c r="A60" s="25">
        <v>55</v>
      </c>
      <c r="B60" s="156" t="s">
        <v>101</v>
      </c>
      <c r="C60" s="165" t="s">
        <v>203</v>
      </c>
      <c r="D60" s="166" t="s">
        <v>204</v>
      </c>
      <c r="E60" s="166">
        <v>26.246779075386499</v>
      </c>
      <c r="F60" s="164">
        <v>80.958518981933594</v>
      </c>
      <c r="G60" s="8">
        <v>0.1</v>
      </c>
      <c r="H60" s="31" t="str" cm="1">
        <f t="array" ref="H60">IF(ISNUMBER(SEARCH("; ",AD10)), TRIM(INDEX(_xlfn.TEXTSPLIT(AD10,"; "),1)), AD10)</f>
        <v>MiND12203GG-1</v>
      </c>
      <c r="I60" s="31" t="str" cm="1">
        <f t="array" ref="I60">IF(ISNUMBER(SEARCH("; ",AD10)), TRIM(INDEX(_xlfn.TEXTSPLIT(AD10,"; "),2)), "")</f>
        <v>NURF588442</v>
      </c>
      <c r="J60" s="9">
        <v>28</v>
      </c>
      <c r="K60" s="34" t="str">
        <v>10</v>
      </c>
      <c r="L60" s="34">
        <v>1</v>
      </c>
      <c r="M60" s="34">
        <v>0</v>
      </c>
      <c r="N60" s="34">
        <v>0</v>
      </c>
      <c r="O60" s="34">
        <v>0</v>
      </c>
      <c r="P60" s="9">
        <v>1</v>
      </c>
      <c r="Q60" s="37" cm="1">
        <f t="array" aca="1" ref="Q60" ca="1">_xlfn.LET(_xlpm.p,P60,_xlpm.e,E60,_xlpm.k,K60,_xlpm.b,INDEX($Y$54:$AJ$54,1,_xlpm.p),_xlpm.s,INDEX($Y$53:$AJ$53,1,_xlpm.p),IF(_xlpm.e="Undetermined","",IF(T60=1,"#N/A",IF(OR(_xlpm.p&lt;1,_xlpm.p&gt;12),"invalid std",_xlpm.k*10^((_xlpm.e-_xlpm.b)/_xlpm.s)))))</f>
        <v>5.9120832257969225</v>
      </c>
      <c r="R60" s="37">
        <f t="shared" ca="1" si="0"/>
        <v>5.8450291305527138</v>
      </c>
      <c r="S60" s="37" t="str">
        <f t="shared" ca="1" si="2"/>
        <v/>
      </c>
      <c r="T60" s="9">
        <v>0</v>
      </c>
      <c r="U60" s="10"/>
      <c r="W60" s="40" t="s">
        <v>61</v>
      </c>
      <c r="X60" s="41">
        <v>1</v>
      </c>
      <c r="Y60" s="41">
        <v>2</v>
      </c>
      <c r="Z60" s="40">
        <v>3</v>
      </c>
      <c r="AA60" s="42">
        <v>4</v>
      </c>
      <c r="AB60" s="41">
        <v>5</v>
      </c>
      <c r="AC60" s="41">
        <v>6</v>
      </c>
      <c r="AD60" s="40">
        <v>7</v>
      </c>
      <c r="AE60" s="42">
        <v>8</v>
      </c>
      <c r="AF60" s="41">
        <v>9</v>
      </c>
      <c r="AG60" s="41">
        <v>10</v>
      </c>
      <c r="AH60" s="40">
        <v>11</v>
      </c>
      <c r="AI60" s="42">
        <v>12</v>
      </c>
      <c r="AK60" s="184"/>
      <c r="AO60" s="13"/>
      <c r="AP60" s="13"/>
    </row>
    <row r="61" spans="1:44" x14ac:dyDescent="0.25">
      <c r="A61" s="25">
        <v>56</v>
      </c>
      <c r="B61" s="156" t="s">
        <v>102</v>
      </c>
      <c r="C61" s="162" t="s">
        <v>203</v>
      </c>
      <c r="D61" s="9" t="s">
        <v>204</v>
      </c>
      <c r="E61" s="163">
        <v>26.279517868241999</v>
      </c>
      <c r="F61" s="164">
        <v>80.958518981933594</v>
      </c>
      <c r="G61" s="8">
        <v>0.1</v>
      </c>
      <c r="H61" s="31" t="str" cm="1">
        <f t="array" ref="H61">IF(ISNUMBER(SEARCH("; ",AE10)), TRIM(INDEX(_xlfn.TEXTSPLIT(AE10,"; "),1)), AE10)</f>
        <v>MiND12203GG-1</v>
      </c>
      <c r="I61" s="31" t="str" cm="1">
        <f t="array" ref="I61">IF(ISNUMBER(SEARCH("; ",AE10)), TRIM(INDEX(_xlfn.TEXTSPLIT(AE10,"; "),2)), "")</f>
        <v>NURF588442</v>
      </c>
      <c r="J61" s="9">
        <v>28</v>
      </c>
      <c r="K61" s="34" t="str">
        <v>10</v>
      </c>
      <c r="L61" s="34">
        <v>1</v>
      </c>
      <c r="M61" s="34">
        <v>0</v>
      </c>
      <c r="N61" s="34">
        <v>0</v>
      </c>
      <c r="O61" s="34">
        <v>0</v>
      </c>
      <c r="P61" s="9">
        <v>1</v>
      </c>
      <c r="Q61" s="37" cm="1">
        <f t="array" aca="1" ref="Q61" ca="1">_xlfn.LET(_xlpm.p,P61,_xlpm.e,E61,_xlpm.k,K61,_xlpm.b,INDEX($Y$54:$AJ$54,1,_xlpm.p),_xlpm.s,INDEX($Y$53:$AJ$53,1,_xlpm.p),IF(_xlpm.e="Undetermined","",IF(T61=1,"#N/A",IF(OR(_xlpm.p&lt;1,_xlpm.p&gt;12),"invalid std",_xlpm.k*10^((_xlpm.e-_xlpm.b)/_xlpm.s)))))</f>
        <v>5.777975035308506</v>
      </c>
      <c r="R61" s="37">
        <f t="shared" ca="1" si="0"/>
        <v>5.8450291305527138</v>
      </c>
      <c r="S61" s="37" t="str">
        <f t="shared" ca="1" si="2"/>
        <v/>
      </c>
      <c r="T61" s="9">
        <v>0</v>
      </c>
      <c r="U61" s="10"/>
      <c r="W61" s="43" t="s">
        <v>26</v>
      </c>
      <c r="X61" s="98">
        <f>IFERROR(AVERAGEIF($J:$J,$J6,$E:$E),"")</f>
        <v>22.316018556891052</v>
      </c>
      <c r="Y61" s="98">
        <f>IFERROR(AVERAGEIF($J:$J,$J7,$E:$E),"")</f>
        <v>22.316018556891052</v>
      </c>
      <c r="Z61" s="98">
        <f>IFERROR(AVERAGEIF($J:$J,$J8,$E:$E),"")</f>
        <v>25.324260346768501</v>
      </c>
      <c r="AA61" s="98">
        <f>IFERROR(AVERAGEIF($J:$J,$J9,$E:$E),"")</f>
        <v>25.324260346768501</v>
      </c>
      <c r="AB61" s="98">
        <f>IFERROR(AVERAGEIF($J:$J,$J10,$E:$E),"")</f>
        <v>14.613654667814401</v>
      </c>
      <c r="AC61" s="98">
        <f>IFERROR(AVERAGEIF($J:$J,$J11,$E:$E),"")</f>
        <v>14.613654667814401</v>
      </c>
      <c r="AD61" s="98">
        <f>IFERROR(AVERAGEIF($J:$J,$J12,$E:$E),"")</f>
        <v>24.510757550511002</v>
      </c>
      <c r="AE61" s="98">
        <f>IFERROR(AVERAGEIF($J:$J,$J13,$E:$E),"")</f>
        <v>24.510757550511002</v>
      </c>
      <c r="AF61" s="98">
        <f>IFERROR(AVERAGEIF($J:$J,$J14,$E:$E),"")</f>
        <v>26.17316924017225</v>
      </c>
      <c r="AG61" s="98">
        <f>IFERROR(AVERAGEIF($J:$J,$J15,$E:$E),"")</f>
        <v>26.17316924017225</v>
      </c>
      <c r="AH61" s="98">
        <f>IFERROR(AVERAGEIF($J:$J,$J16,$E:$E),"")</f>
        <v>24.466429023763652</v>
      </c>
      <c r="AI61" s="99">
        <f>IFERROR(AVERAGEIF($J:$J,$J17,$E:$E),"")</f>
        <v>24.466429023763652</v>
      </c>
      <c r="AK61" s="184"/>
      <c r="AO61" s="13"/>
      <c r="AP61" s="13"/>
    </row>
    <row r="62" spans="1:44" x14ac:dyDescent="0.25">
      <c r="A62" s="25">
        <v>57</v>
      </c>
      <c r="B62" s="156" t="s">
        <v>103</v>
      </c>
      <c r="C62" s="162" t="s">
        <v>203</v>
      </c>
      <c r="D62" s="9" t="s">
        <v>204</v>
      </c>
      <c r="E62" s="163">
        <v>26.055319801551999</v>
      </c>
      <c r="F62" s="164">
        <v>80.918106079101506</v>
      </c>
      <c r="G62" s="8">
        <v>0.1</v>
      </c>
      <c r="H62" s="31" t="str" cm="1">
        <f t="array" ref="H62">IF(ISNUMBER(SEARCH("; ",AF10)), TRIM(INDEX(_xlfn.TEXTSPLIT(AF10,"; "),1)), AF10)</f>
        <v>MiND12228JF-1</v>
      </c>
      <c r="I62" s="31" t="str" cm="1">
        <f t="array" ref="I62">IF(ISNUMBER(SEARCH("; ",AF10)), TRIM(INDEX(_xlfn.TEXTSPLIT(AF10,"; "),2)), "")</f>
        <v>NURF983674</v>
      </c>
      <c r="J62" s="9">
        <v>29</v>
      </c>
      <c r="K62" s="34" t="str">
        <v>10</v>
      </c>
      <c r="L62" s="34">
        <v>1</v>
      </c>
      <c r="M62" s="34">
        <v>0</v>
      </c>
      <c r="N62" s="34">
        <v>0</v>
      </c>
      <c r="O62" s="34">
        <v>0</v>
      </c>
      <c r="P62" s="9">
        <v>1</v>
      </c>
      <c r="Q62" s="37" cm="1">
        <f t="array" aca="1" ref="Q62" ca="1">_xlfn.LET(_xlpm.p,P62,_xlpm.e,E62,_xlpm.k,K62,_xlpm.b,INDEX($Y$54:$AJ$54,1,_xlpm.p),_xlpm.s,INDEX($Y$53:$AJ$53,1,_xlpm.p),IF(_xlpm.e="Undetermined","",IF(T62=1,"#N/A",IF(OR(_xlpm.p&lt;1,_xlpm.p&gt;12),"invalid std",_xlpm.k*10^((_xlpm.e-_xlpm.b)/_xlpm.s)))))</f>
        <v>6.7610788687139545</v>
      </c>
      <c r="R62" s="37">
        <f t="shared" ca="1" si="0"/>
        <v>6.8457272181593076</v>
      </c>
      <c r="S62" s="37" t="str">
        <f t="shared" ca="1" si="2"/>
        <v/>
      </c>
      <c r="T62" s="9">
        <v>0</v>
      </c>
      <c r="U62" s="10"/>
      <c r="W62" s="70" t="s">
        <v>28</v>
      </c>
      <c r="X62" s="98">
        <f>IFERROR(AVERAGEIF($J:$J,$J18,$E:$E),"")</f>
        <v>25.915107529066049</v>
      </c>
      <c r="Y62" s="98">
        <f>IFERROR(AVERAGEIF($J:$J,$J19,$E:$E),"")</f>
        <v>25.915107529066049</v>
      </c>
      <c r="Z62" s="98">
        <f>IFERROR(AVERAGEIF($J:$J,$J20,$E:$E),"")</f>
        <v>25.468663419757952</v>
      </c>
      <c r="AA62" s="98">
        <f>IFERROR(AVERAGEIF($J:$J,$J21,$E:$E),"")</f>
        <v>25.468663419757952</v>
      </c>
      <c r="AB62" s="98">
        <f>IFERROR(AVERAGEIF($J:$J,$J22,$E:$E),"")</f>
        <v>16.935960642745052</v>
      </c>
      <c r="AC62" s="98">
        <f>IFERROR(AVERAGEIF($J:$J,$J23,$E:$E),"")</f>
        <v>16.935960642745052</v>
      </c>
      <c r="AD62" s="98">
        <f>IFERROR(AVERAGEIF($J:$J,$J24,$E:$E),"")</f>
        <v>25.017978821986048</v>
      </c>
      <c r="AE62" s="98">
        <f>IFERROR(AVERAGEIF($J:$J,$J25,$E:$E),"")</f>
        <v>25.017978821986048</v>
      </c>
      <c r="AF62" s="98">
        <f>IFERROR(AVERAGEIF($J:$J,$J26,$E:$E),"")</f>
        <v>25.2318373458249</v>
      </c>
      <c r="AG62" s="98">
        <f>IFERROR(AVERAGEIF($J:$J,$J27,$E:$E),"")</f>
        <v>25.2318373458249</v>
      </c>
      <c r="AH62" s="98">
        <f>IFERROR(AVERAGEIF($J:$J,$J28,$E:$E),"")</f>
        <v>22.059273583028151</v>
      </c>
      <c r="AI62" s="99">
        <f>IFERROR(AVERAGEIF($J:$J,$J29,$E:$E),"")</f>
        <v>22.059273583028151</v>
      </c>
      <c r="AK62" s="184"/>
      <c r="AO62" s="13"/>
      <c r="AP62" s="13"/>
    </row>
    <row r="63" spans="1:44" x14ac:dyDescent="0.25">
      <c r="A63" s="25">
        <v>58</v>
      </c>
      <c r="B63" s="156" t="s">
        <v>104</v>
      </c>
      <c r="C63" s="162" t="s">
        <v>203</v>
      </c>
      <c r="D63" s="9" t="s">
        <v>204</v>
      </c>
      <c r="E63" s="163">
        <v>26.020031884663499</v>
      </c>
      <c r="F63" s="164">
        <v>80.918106079101506</v>
      </c>
      <c r="G63" s="8">
        <v>0.1</v>
      </c>
      <c r="H63" s="31" t="str" cm="1">
        <f t="array" ref="H63">IF(ISNUMBER(SEARCH("; ",AG10)), TRIM(INDEX(_xlfn.TEXTSPLIT(AG10,"; "),1)), AG10)</f>
        <v>MiND12228JF-1</v>
      </c>
      <c r="I63" s="31" t="str" cm="1">
        <f t="array" ref="I63">IF(ISNUMBER(SEARCH("; ",AG10)), TRIM(INDEX(_xlfn.TEXTSPLIT(AG10,"; "),2)), "")</f>
        <v>NURF983674</v>
      </c>
      <c r="J63" s="9">
        <v>29</v>
      </c>
      <c r="K63" s="34" t="str">
        <v>10</v>
      </c>
      <c r="L63" s="34">
        <v>1</v>
      </c>
      <c r="M63" s="34">
        <v>0</v>
      </c>
      <c r="N63" s="34">
        <v>0</v>
      </c>
      <c r="O63" s="34">
        <v>0</v>
      </c>
      <c r="P63" s="9">
        <v>1</v>
      </c>
      <c r="Q63" s="37" cm="1">
        <f t="array" aca="1" ref="Q63" ca="1">_xlfn.LET(_xlpm.p,P63,_xlpm.e,E63,_xlpm.k,K63,_xlpm.b,INDEX($Y$54:$AJ$54,1,_xlpm.p),_xlpm.s,INDEX($Y$53:$AJ$53,1,_xlpm.p),IF(_xlpm.e="Undetermined","",IF(T63=1,"#N/A",IF(OR(_xlpm.p&lt;1,_xlpm.p&gt;12),"invalid std",_xlpm.k*10^((_xlpm.e-_xlpm.b)/_xlpm.s)))))</f>
        <v>6.9303755676046617</v>
      </c>
      <c r="R63" s="37">
        <f t="shared" ca="1" si="0"/>
        <v>6.8457272181593076</v>
      </c>
      <c r="S63" s="37" t="str">
        <f t="shared" ca="1" si="2"/>
        <v/>
      </c>
      <c r="T63" s="9">
        <v>0</v>
      </c>
      <c r="U63" s="10"/>
      <c r="W63" s="43" t="s">
        <v>30</v>
      </c>
      <c r="X63" s="98">
        <f>IFERROR(AVERAGEIF($J:$J,$J30,$E:$E),"")</f>
        <v>24.303368173575748</v>
      </c>
      <c r="Y63" s="98">
        <f>IFERROR(AVERAGEIF($J:$J,$J31,$E:$E),"")</f>
        <v>24.303368173575748</v>
      </c>
      <c r="Z63" s="98">
        <f>IFERROR(AVERAGEIF($J:$J,$J32,$E:$E),"")</f>
        <v>25.208069189340051</v>
      </c>
      <c r="AA63" s="98">
        <f>IFERROR(AVERAGEIF($J:$J,$J33,$E:$E),"")</f>
        <v>25.208069189340051</v>
      </c>
      <c r="AB63" s="98">
        <f>IFERROR(AVERAGEIF($J:$J,$J34,$E:$E),"")</f>
        <v>19.246138720689199</v>
      </c>
      <c r="AC63" s="98">
        <f>IFERROR(AVERAGEIF($J:$J,$J35,$E:$E),"")</f>
        <v>19.246138720689199</v>
      </c>
      <c r="AD63" s="98">
        <f>IFERROR(AVERAGEIF($J:$J,$J36,$E:$E),"")</f>
        <v>25.819963350185098</v>
      </c>
      <c r="AE63" s="98">
        <f>IFERROR(AVERAGEIF($J:$J,$J37,$E:$E),"")</f>
        <v>25.819963350185098</v>
      </c>
      <c r="AF63" s="98">
        <f>IFERROR(AVERAGEIF($J:$J,$J38,$E:$E),"")</f>
        <v>23.631732429028702</v>
      </c>
      <c r="AG63" s="98">
        <f>IFERROR(AVERAGEIF($J:$J,$J39,$E:$E),"")</f>
        <v>23.631732429028702</v>
      </c>
      <c r="AH63" s="98">
        <f>IFERROR(AVERAGEIF($J:$J,$J40,$E:$E),"")</f>
        <v>25.939423723138098</v>
      </c>
      <c r="AI63" s="99">
        <f>IFERROR(AVERAGEIF($J:$J,$J41,$E:$E),"")</f>
        <v>25.939423723138098</v>
      </c>
      <c r="AK63" s="184"/>
      <c r="AO63" s="13"/>
      <c r="AP63" s="13"/>
    </row>
    <row r="64" spans="1:44" x14ac:dyDescent="0.25">
      <c r="A64" s="25">
        <v>59</v>
      </c>
      <c r="B64" s="156" t="s">
        <v>105</v>
      </c>
      <c r="C64" s="165" t="s">
        <v>203</v>
      </c>
      <c r="D64" s="166" t="s">
        <v>204</v>
      </c>
      <c r="E64" s="166">
        <v>21.9601746855821</v>
      </c>
      <c r="F64" s="164">
        <v>80.765129089355398</v>
      </c>
      <c r="G64" s="8">
        <v>0.1</v>
      </c>
      <c r="H64" s="31" t="str" cm="1">
        <f t="array" ref="H64">IF(ISNUMBER(SEARCH("; ",AH10)), TRIM(INDEX(_xlfn.TEXTSPLIT(AH10,"; "),1)), AH10)</f>
        <v>NFL-QC-H</v>
      </c>
      <c r="I64" s="31" t="str" cm="1">
        <f t="array" ref="I64">IF(ISNUMBER(SEARCH("; ",AH10)), TRIM(INDEX(_xlfn.TEXTSPLIT(AH10,"; "),2)), "")</f>
        <v/>
      </c>
      <c r="J64" s="9">
        <v>30</v>
      </c>
      <c r="K64" s="34" t="str">
        <v>10</v>
      </c>
      <c r="L64" s="34">
        <v>1</v>
      </c>
      <c r="M64" s="34">
        <v>0</v>
      </c>
      <c r="N64" s="34">
        <v>0</v>
      </c>
      <c r="O64" s="34">
        <v>0</v>
      </c>
      <c r="P64" s="9">
        <v>1</v>
      </c>
      <c r="Q64" s="37" cm="1">
        <f t="array" aca="1" ref="Q64" ca="1">_xlfn.LET(_xlpm.p,P64,_xlpm.e,E64,_xlpm.k,K64,_xlpm.b,INDEX($Y$54:$AJ$54,1,_xlpm.p),_xlpm.s,INDEX($Y$53:$AJ$53,1,_xlpm.p),IF(_xlpm.e="Undetermined","",IF(T64=1,"#N/A",IF(OR(_xlpm.p&lt;1,_xlpm.p&gt;12),"invalid std",_xlpm.k*10^((_xlpm.e-_xlpm.b)/_xlpm.s)))))</f>
        <v>119.25505336129632</v>
      </c>
      <c r="R64" s="37">
        <f t="shared" ca="1" si="0"/>
        <v>110.10363630544205</v>
      </c>
      <c r="S64" s="37" t="str">
        <f t="shared" ca="1" si="2"/>
        <v/>
      </c>
      <c r="T64" s="9">
        <v>0</v>
      </c>
      <c r="U64" s="10"/>
      <c r="W64" s="70" t="s">
        <v>32</v>
      </c>
      <c r="X64" s="98">
        <f>IFERROR(AVERAGEIF($J:$J,$J42,$E:$E),"")</f>
        <v>25.942101159668802</v>
      </c>
      <c r="Y64" s="98">
        <f>IFERROR(AVERAGEIF($J:$J,$J43,$E:$E),"")</f>
        <v>25.942101159668802</v>
      </c>
      <c r="Z64" s="98">
        <f>IFERROR(AVERAGEIF($J:$J,$J44,$E:$E),"")</f>
        <v>25.9699640663178</v>
      </c>
      <c r="AA64" s="98">
        <f>IFERROR(AVERAGEIF($J:$J,$J45,$E:$E),"")</f>
        <v>25.9699640663178</v>
      </c>
      <c r="AB64" s="98">
        <f>IFERROR(AVERAGEIF($J:$J,$J46,$E:$E),"")</f>
        <v>21.595917807394699</v>
      </c>
      <c r="AC64" s="98">
        <f>IFERROR(AVERAGEIF($J:$J,$J47,$E:$E),"")</f>
        <v>21.595917807394699</v>
      </c>
      <c r="AD64" s="98">
        <f>IFERROR(AVERAGEIF($J:$J,$J48,$E:$E),"")</f>
        <v>25.195926367089051</v>
      </c>
      <c r="AE64" s="98">
        <f>IFERROR(AVERAGEIF($J:$J,$J49,$E:$E),"")</f>
        <v>25.195926367089051</v>
      </c>
      <c r="AF64" s="98">
        <f>IFERROR(AVERAGEIF($J:$J,$J50,$E:$E),"")</f>
        <v>23.8461424722822</v>
      </c>
      <c r="AG64" s="98">
        <f>IFERROR(AVERAGEIF($J:$J,$J51,$E:$E),"")</f>
        <v>23.8461424722822</v>
      </c>
      <c r="AH64" s="98">
        <f>IFERROR(AVERAGEIF($J:$J,$J52,$E:$E),"")</f>
        <v>21.994993378753449</v>
      </c>
      <c r="AI64" s="99">
        <f>IFERROR(AVERAGEIF($J:$J,$J53,$E:$E),"")</f>
        <v>21.994993378753449</v>
      </c>
      <c r="AK64" s="198"/>
      <c r="AO64" s="13"/>
      <c r="AP64" s="13"/>
    </row>
    <row r="65" spans="1:42" x14ac:dyDescent="0.25">
      <c r="A65" s="26">
        <v>60</v>
      </c>
      <c r="B65" s="156" t="s">
        <v>106</v>
      </c>
      <c r="C65" s="165" t="s">
        <v>203</v>
      </c>
      <c r="D65" s="166" t="s">
        <v>204</v>
      </c>
      <c r="E65" s="166">
        <v>22.197910579766699</v>
      </c>
      <c r="F65" s="164">
        <v>80.765129089355398</v>
      </c>
      <c r="G65" s="8">
        <v>0.1</v>
      </c>
      <c r="H65" s="31" t="str" cm="1">
        <f t="array" ref="H65">IF(ISNUMBER(SEARCH("; ",AI10)), TRIM(INDEX(_xlfn.TEXTSPLIT(AI10,"; "),1)), AI10)</f>
        <v>NFL-QC-H</v>
      </c>
      <c r="I65" s="31" t="str" cm="1">
        <f t="array" ref="I65">IF(ISNUMBER(SEARCH("; ",AI10)), TRIM(INDEX(_xlfn.TEXTSPLIT(AI10,"; "),2)), "")</f>
        <v/>
      </c>
      <c r="J65" s="9">
        <v>30</v>
      </c>
      <c r="K65" s="34" t="str">
        <v>10</v>
      </c>
      <c r="L65" s="34">
        <v>1</v>
      </c>
      <c r="M65" s="34">
        <v>0</v>
      </c>
      <c r="N65" s="34">
        <v>0</v>
      </c>
      <c r="O65" s="34">
        <v>0</v>
      </c>
      <c r="P65" s="9">
        <v>1</v>
      </c>
      <c r="Q65" s="37" cm="1">
        <f t="array" aca="1" ref="Q65" ca="1">_xlfn.LET(_xlpm.p,P65,_xlpm.e,E65,_xlpm.k,K65,_xlpm.b,INDEX($Y$54:$AJ$54,1,_xlpm.p),_xlpm.s,INDEX($Y$53:$AJ$53,1,_xlpm.p),IF(_xlpm.e="Undetermined","",IF(T65=1,"#N/A",IF(OR(_xlpm.p&lt;1,_xlpm.p&gt;12),"invalid std",_xlpm.k*10^((_xlpm.e-_xlpm.b)/_xlpm.s)))))</f>
        <v>100.95221924958777</v>
      </c>
      <c r="R65" s="37">
        <f t="shared" ca="1" si="0"/>
        <v>110.10363630544205</v>
      </c>
      <c r="S65" s="37" t="str">
        <f t="shared" ca="1" si="2"/>
        <v/>
      </c>
      <c r="T65" s="9">
        <v>0</v>
      </c>
      <c r="U65" s="10"/>
      <c r="W65" s="43" t="s">
        <v>34</v>
      </c>
      <c r="X65" s="98">
        <f>IFERROR(AVERAGEIF($J:$J,$J54,$E:$E),"")</f>
        <v>25.025141163424898</v>
      </c>
      <c r="Y65" s="98">
        <f>IFERROR(AVERAGEIF($J:$J,$J55,$E:$E),"")</f>
        <v>25.025141163424898</v>
      </c>
      <c r="Z65" s="98">
        <f>IFERROR(AVERAGEIF($J:$J,$J56,$E:$E),"")</f>
        <v>25.124966856458649</v>
      </c>
      <c r="AA65" s="98">
        <f>IFERROR(AVERAGEIF($J:$J,$J57,$E:$E),"")</f>
        <v>25.124966856458649</v>
      </c>
      <c r="AB65" s="98">
        <f>IFERROR(AVERAGEIF($J:$J,$J58,$E:$E),"")</f>
        <v>23.888631482449547</v>
      </c>
      <c r="AC65" s="98">
        <f>IFERROR(AVERAGEIF($J:$J,$J59,$E:$E),"")</f>
        <v>23.888631482449547</v>
      </c>
      <c r="AD65" s="98">
        <f>IFERROR(AVERAGEIF($J:$J,$J60,$E:$E),"")</f>
        <v>26.263148471814247</v>
      </c>
      <c r="AE65" s="98">
        <f>IFERROR(AVERAGEIF($J:$J,$J61,$E:$E),"")</f>
        <v>26.263148471814247</v>
      </c>
      <c r="AF65" s="98">
        <f>IFERROR(AVERAGEIF($J:$J,$J62,$E:$E),"")</f>
        <v>26.037675843107749</v>
      </c>
      <c r="AG65" s="98">
        <f>IFERROR(AVERAGEIF($J:$J,$J63,$E:$E),"")</f>
        <v>26.037675843107749</v>
      </c>
      <c r="AH65" s="98">
        <f>IFERROR(AVERAGEIF($J:$J,$J64,$E:$E),"")</f>
        <v>22.079042632674401</v>
      </c>
      <c r="AI65" s="99">
        <f>IFERROR(AVERAGEIF($J:$J,$J65,$E:$E),"")</f>
        <v>22.079042632674401</v>
      </c>
      <c r="AK65" s="198"/>
      <c r="AO65" s="13"/>
      <c r="AP65" s="13"/>
    </row>
    <row r="66" spans="1:42" x14ac:dyDescent="0.25">
      <c r="A66" s="25">
        <v>61</v>
      </c>
      <c r="B66" s="155" t="s">
        <v>107</v>
      </c>
      <c r="C66" s="159" t="s">
        <v>203</v>
      </c>
      <c r="D66" s="6" t="s">
        <v>204</v>
      </c>
      <c r="E66" s="160">
        <v>25.613781325733601</v>
      </c>
      <c r="F66" s="161">
        <v>80.803367614746094</v>
      </c>
      <c r="G66" s="170">
        <v>0.1</v>
      </c>
      <c r="H66" s="30" t="str" cm="1">
        <f t="array" ref="H66">IF(ISNUMBER(SEARCH("; ",X11)), TRIM(INDEX(_xlfn.TEXTSPLIT(X11,"; "),1)), X11)</f>
        <v>MiND33263MM-1</v>
      </c>
      <c r="I66" s="30" t="str" cm="1">
        <f t="array" ref="I66">IF(ISNUMBER(SEARCH("; ",X11)), TRIM(INDEX(_xlfn.TEXTSPLIT(X11,"; "),2)), "")</f>
        <v>NURF550023</v>
      </c>
      <c r="J66" s="6">
        <v>31</v>
      </c>
      <c r="K66" s="33" t="str" cm="1">
        <f t="array" ref="K66:K77">TRANSPOSE(RIGHT(LEFT(X22:AI22,FIND(";",X22:AI22)-1),LEN(LEFT(X22:AI22,FIND(";",X22:AI22)-1))-1))</f>
        <v>10</v>
      </c>
      <c r="L66" s="33" cm="1">
        <f t="array" ref="L66:L77">TRANSPOSE(IF(ISNUMBER(SEARCH("v1",X22:AI22)),1,0))</f>
        <v>1</v>
      </c>
      <c r="M66" s="33" cm="1">
        <f t="array" ref="M66:M77">TRANSPOSE(IF(ISNUMBER(SEARCH("v2",X22:AI22)),1,0))</f>
        <v>0</v>
      </c>
      <c r="N66" s="33" cm="1">
        <f t="array" ref="N66:N77">TRANSPOSE(IF(ISNUMBER(SEARCH("v3",X22:AI22)),1,0))</f>
        <v>0</v>
      </c>
      <c r="O66" s="33" cm="1">
        <f t="array" ref="O66:O77">TRANSPOSE(IF(ISNUMBER(SEARCH("v4",X22:AI22)),1,0))</f>
        <v>0</v>
      </c>
      <c r="P66" s="6">
        <v>1</v>
      </c>
      <c r="Q66" s="36" cm="1">
        <f t="array" aca="1" ref="Q66" ca="1">_xlfn.LET(_xlpm.p,P66,_xlpm.e,E66,_xlpm.k,K66,_xlpm.b,INDEX($Y$54:$AJ$54,1,_xlpm.p),_xlpm.s,INDEX($Y$53:$AJ$53,1,_xlpm.p),IF(_xlpm.e="Undetermined","",IF(T66=1,"#N/A",IF(OR(_xlpm.p&lt;1,_xlpm.p&gt;12),"invalid std",_xlpm.k*10^((_xlpm.e-_xlpm.b)/_xlpm.s)))))</f>
        <v>9.2131763233469393</v>
      </c>
      <c r="R66" s="36">
        <f t="shared" ca="1" si="0"/>
        <v>10.434723209562215</v>
      </c>
      <c r="S66" s="36" t="str">
        <f t="shared" ca="1" si="2"/>
        <v/>
      </c>
      <c r="T66" s="6">
        <v>0</v>
      </c>
      <c r="U66" s="7"/>
      <c r="W66" s="70" t="s">
        <v>36</v>
      </c>
      <c r="X66" s="98">
        <f>IFERROR(AVERAGEIF($J:$J,$J66,$E:$E),"")</f>
        <v>25.445978224470252</v>
      </c>
      <c r="Y66" s="98">
        <f>IFERROR(AVERAGEIF($J:$J,$J67,$E:$E),"")</f>
        <v>25.445978224470252</v>
      </c>
      <c r="Z66" s="98">
        <f>IFERROR(AVERAGEIF($J:$J,$J68,$E:$E),"")</f>
        <v>22.6873632669984</v>
      </c>
      <c r="AA66" s="98">
        <f>IFERROR(AVERAGEIF($J:$J,$J69,$E:$E),"")</f>
        <v>22.6873632669984</v>
      </c>
      <c r="AB66" s="98">
        <f>IFERROR(AVERAGEIF($J:$J,$J70,$E:$E),"")</f>
        <v>26.146330937108097</v>
      </c>
      <c r="AC66" s="98">
        <f>IFERROR(AVERAGEIF($J:$J,$J71,$E:$E),"")</f>
        <v>26.146330937108097</v>
      </c>
      <c r="AD66" s="98">
        <f>IFERROR(AVERAGEIF($J:$J,$J72,$E:$E),"")</f>
        <v>25.927824138062348</v>
      </c>
      <c r="AE66" s="98">
        <f>IFERROR(AVERAGEIF($J:$J,$J73,$E:$E),"")</f>
        <v>25.927824138062348</v>
      </c>
      <c r="AF66" s="98">
        <f>IFERROR(AVERAGEIF($J:$J,$J74,$E:$E),"")</f>
        <v>24.797517778956497</v>
      </c>
      <c r="AG66" s="98">
        <f>IFERROR(AVERAGEIF($J:$J,$J75,$E:$E),"")</f>
        <v>24.797517778956497</v>
      </c>
      <c r="AH66" s="98">
        <f>IFERROR(AVERAGEIF($J:$J,$J76,$E:$E),"")</f>
        <v>25.809282438214399</v>
      </c>
      <c r="AI66" s="99">
        <f>IFERROR(AVERAGEIF($J:$J,$J77,$E:$E),"")</f>
        <v>25.809282438214399</v>
      </c>
      <c r="AK66" s="184"/>
      <c r="AO66" s="13"/>
      <c r="AP66" s="13"/>
    </row>
    <row r="67" spans="1:42" x14ac:dyDescent="0.25">
      <c r="A67" s="25">
        <v>62</v>
      </c>
      <c r="B67" s="156" t="s">
        <v>108</v>
      </c>
      <c r="C67" s="162" t="s">
        <v>203</v>
      </c>
      <c r="D67" s="9" t="s">
        <v>204</v>
      </c>
      <c r="E67" s="163">
        <v>25.2781751232069</v>
      </c>
      <c r="F67" s="164">
        <v>80.803367614746094</v>
      </c>
      <c r="G67" s="171">
        <v>0.1</v>
      </c>
      <c r="H67" s="31" t="str" cm="1">
        <f t="array" ref="H67">IF(ISNUMBER(SEARCH("; ",Y11)), TRIM(INDEX(_xlfn.TEXTSPLIT(Y11,"; "),1)), Y11)</f>
        <v>MiND33263MM-1</v>
      </c>
      <c r="I67" s="31" t="str" cm="1">
        <f t="array" ref="I67">IF(ISNUMBER(SEARCH("; ",Y11)), TRIM(INDEX(_xlfn.TEXTSPLIT(Y11,"; "),2)), "")</f>
        <v>NURF550023</v>
      </c>
      <c r="J67" s="9">
        <v>31</v>
      </c>
      <c r="K67" s="34" t="str">
        <v>10</v>
      </c>
      <c r="L67" s="34">
        <v>1</v>
      </c>
      <c r="M67" s="34">
        <v>0</v>
      </c>
      <c r="N67" s="34">
        <v>0</v>
      </c>
      <c r="O67" s="34">
        <v>0</v>
      </c>
      <c r="P67" s="9">
        <v>1</v>
      </c>
      <c r="Q67" s="37" cm="1">
        <f t="array" aca="1" ref="Q67" ca="1">_xlfn.LET(_xlpm.p,P67,_xlpm.e,E67,_xlpm.k,K67,_xlpm.b,INDEX($Y$54:$AJ$54,1,_xlpm.p),_xlpm.s,INDEX($Y$53:$AJ$53,1,_xlpm.p),IF(_xlpm.e="Undetermined","",IF(T67=1,"#N/A",IF(OR(_xlpm.p&lt;1,_xlpm.p&gt;12),"invalid std",_xlpm.k*10^((_xlpm.e-_xlpm.b)/_xlpm.s)))))</f>
        <v>11.65627009577749</v>
      </c>
      <c r="R67" s="37">
        <f t="shared" ca="1" si="0"/>
        <v>10.434723209562215</v>
      </c>
      <c r="S67" s="37" t="str">
        <f t="shared" ca="1" si="2"/>
        <v/>
      </c>
      <c r="T67" s="9">
        <v>0</v>
      </c>
      <c r="U67" s="10"/>
      <c r="W67" s="43" t="s">
        <v>38</v>
      </c>
      <c r="X67" s="98">
        <f>IFERROR(AVERAGEIF($J:$J,$J78,$E:$E),"")</f>
        <v>25.82044961119885</v>
      </c>
      <c r="Y67" s="98">
        <f>IFERROR(AVERAGEIF($J:$J,$J79,$E:$E),"")</f>
        <v>25.82044961119885</v>
      </c>
      <c r="Z67" s="98">
        <f>IFERROR(AVERAGEIF($J:$J,$J80,$E:$E),"")</f>
        <v>24.76581728917375</v>
      </c>
      <c r="AA67" s="98">
        <f>IFERROR(AVERAGEIF($J:$J,$J81,$E:$E),"")</f>
        <v>24.76581728917375</v>
      </c>
      <c r="AB67" s="98">
        <f>IFERROR(AVERAGEIF($J:$J,$J82,$E:$E),"")</f>
        <v>28.359059577168701</v>
      </c>
      <c r="AC67" s="98">
        <f>IFERROR(AVERAGEIF($J:$J,$J83,$E:$E),"")</f>
        <v>28.359059577168701</v>
      </c>
      <c r="AD67" s="98">
        <f>IFERROR(AVERAGEIF($J:$J,$J84,$E:$E),"")</f>
        <v>25.4205903802752</v>
      </c>
      <c r="AE67" s="98">
        <f>IFERROR(AVERAGEIF($J:$J,$J85,$E:$E),"")</f>
        <v>25.4205903802752</v>
      </c>
      <c r="AF67" s="98">
        <f>IFERROR(AVERAGEIF($J:$J,$J86,$E:$E),"")</f>
        <v>24.270964012112898</v>
      </c>
      <c r="AG67" s="98">
        <f>IFERROR(AVERAGEIF($J:$J,$J87,$E:$E),"")</f>
        <v>24.270964012112898</v>
      </c>
      <c r="AH67" s="98">
        <f>IFERROR(AVERAGEIF($J:$J,$J88,$E:$E),"")</f>
        <v>24.302720258088847</v>
      </c>
      <c r="AI67" s="99">
        <f>IFERROR(AVERAGEIF($J:$J,$J89,$E:$E),"")</f>
        <v>24.302720258088847</v>
      </c>
      <c r="AK67" s="184"/>
      <c r="AO67" s="13"/>
      <c r="AP67" s="13"/>
    </row>
    <row r="68" spans="1:42" x14ac:dyDescent="0.25">
      <c r="A68" s="25">
        <v>63</v>
      </c>
      <c r="B68" s="156" t="s">
        <v>109</v>
      </c>
      <c r="C68" s="162" t="s">
        <v>203</v>
      </c>
      <c r="D68" s="9" t="s">
        <v>204</v>
      </c>
      <c r="E68" s="163">
        <v>22.728754595878801</v>
      </c>
      <c r="F68" s="164">
        <v>80.959739685058594</v>
      </c>
      <c r="G68" s="171">
        <v>0.1</v>
      </c>
      <c r="H68" s="31" t="str" cm="1">
        <f t="array" ref="H68">IF(ISNUMBER(SEARCH("; ",Z11)), TRIM(INDEX(_xlfn.TEXTSPLIT(Z11,"; "),1)), Z11)</f>
        <v>MiND33333PO-1</v>
      </c>
      <c r="I68" s="31" t="str" cm="1">
        <f t="array" ref="I68">IF(ISNUMBER(SEARCH("; ",Z11)), TRIM(INDEX(_xlfn.TEXTSPLIT(Z11,"; "),2)), "")</f>
        <v>NURF899959</v>
      </c>
      <c r="J68" s="9">
        <v>32</v>
      </c>
      <c r="K68" s="34" t="str">
        <v>10</v>
      </c>
      <c r="L68" s="34">
        <v>1</v>
      </c>
      <c r="M68" s="34">
        <v>0</v>
      </c>
      <c r="N68" s="34">
        <v>0</v>
      </c>
      <c r="O68" s="34">
        <v>0</v>
      </c>
      <c r="P68" s="9">
        <v>1</v>
      </c>
      <c r="Q68" s="37" cm="1">
        <f t="array" aca="1" ref="Q68" ca="1">_xlfn.LET(_xlpm.p,P68,_xlpm.e,E68,_xlpm.k,K68,_xlpm.b,INDEX($Y$54:$AJ$54,1,_xlpm.p),_xlpm.s,INDEX($Y$53:$AJ$53,1,_xlpm.p),IF(_xlpm.e="Undetermined","",IF(T68=1,"#N/A",IF(OR(_xlpm.p&lt;1,_xlpm.p&gt;12),"invalid std",_xlpm.k*10^((_xlpm.e-_xlpm.b)/_xlpm.s)))))</f>
        <v>69.588919652796648</v>
      </c>
      <c r="R68" s="37">
        <f t="shared" ca="1" si="0"/>
        <v>71.66734238463556</v>
      </c>
      <c r="S68" s="37" t="str">
        <f t="shared" ca="1" si="2"/>
        <v/>
      </c>
      <c r="T68" s="9">
        <v>0</v>
      </c>
      <c r="U68" s="10"/>
      <c r="W68" s="70" t="s">
        <v>40</v>
      </c>
      <c r="X68" s="100">
        <f>IFERROR(AVERAGEIF($J:$J,$J90,$E:$E),"")</f>
        <v>24.4387437323124</v>
      </c>
      <c r="Y68" s="100">
        <f>IFERROR(AVERAGEIF($J:$J,$J91,$E:$E),"")</f>
        <v>24.4387437323124</v>
      </c>
      <c r="Z68" s="100">
        <f>IFERROR(AVERAGEIF($J:$J,$J92,$E:$E),"")</f>
        <v>25.953946611565101</v>
      </c>
      <c r="AA68" s="100">
        <f>IFERROR(AVERAGEIF($J:$J,$J93,$E:$E),"")</f>
        <v>25.953946611565101</v>
      </c>
      <c r="AB68" s="100">
        <f>IFERROR(AVERAGEIF($J:$J,$J94,$E:$E),"")</f>
        <v>31.133972034467149</v>
      </c>
      <c r="AC68" s="100">
        <f>IFERROR(AVERAGEIF($J:$J,$J95,$E:$E),"")</f>
        <v>31.133972034467149</v>
      </c>
      <c r="AD68" s="100">
        <f>IFERROR(AVERAGEIF($J:$J,$J96,$E:$E),"")</f>
        <v>26.023035429172801</v>
      </c>
      <c r="AE68" s="100">
        <f>IFERROR(AVERAGEIF($J:$J,$J97,$E:$E),"")</f>
        <v>26.023035429172801</v>
      </c>
      <c r="AF68" s="100">
        <f>IFERROR(AVERAGEIF($J:$J,$J98,$E:$E),"")</f>
        <v>25.215952952442699</v>
      </c>
      <c r="AG68" s="100">
        <f>IFERROR(AVERAGEIF($J:$J,$J99,$E:$E),"")</f>
        <v>25.215952952442699</v>
      </c>
      <c r="AH68" s="100">
        <f>IFERROR(AVERAGEIF($J:$J,$J100,$E:$E),"")</f>
        <v>22.297955227061202</v>
      </c>
      <c r="AI68" s="101">
        <f>IFERROR(AVERAGEIF($J:$J,$J101,$E:$E),"")</f>
        <v>22.297955227061202</v>
      </c>
      <c r="AK68" s="184"/>
      <c r="AO68" s="13"/>
      <c r="AP68" s="13"/>
    </row>
    <row r="69" spans="1:42" x14ac:dyDescent="0.25">
      <c r="A69" s="25">
        <v>64</v>
      </c>
      <c r="B69" s="156" t="s">
        <v>110</v>
      </c>
      <c r="C69" s="162" t="s">
        <v>203</v>
      </c>
      <c r="D69" s="9" t="s">
        <v>204</v>
      </c>
      <c r="E69" s="163">
        <v>22.645971938117999</v>
      </c>
      <c r="F69" s="164">
        <v>80.959739685058594</v>
      </c>
      <c r="G69" s="171">
        <v>0.1</v>
      </c>
      <c r="H69" s="31" t="str" cm="1">
        <f t="array" ref="H69">IF(ISNUMBER(SEARCH("; ",AA11)), TRIM(INDEX(_xlfn.TEXTSPLIT(AA11,"; "),1)), AA11)</f>
        <v>MiND33333PO-1</v>
      </c>
      <c r="I69" s="31" t="str" cm="1">
        <f t="array" ref="I69">IF(ISNUMBER(SEARCH("; ",AA11)), TRIM(INDEX(_xlfn.TEXTSPLIT(AA11,"; "),2)), "")</f>
        <v>NURF899959</v>
      </c>
      <c r="J69" s="9">
        <v>32</v>
      </c>
      <c r="K69" s="34" t="str">
        <v>10</v>
      </c>
      <c r="L69" s="34">
        <v>1</v>
      </c>
      <c r="M69" s="34">
        <v>0</v>
      </c>
      <c r="N69" s="34">
        <v>0</v>
      </c>
      <c r="O69" s="34">
        <v>0</v>
      </c>
      <c r="P69" s="9">
        <v>1</v>
      </c>
      <c r="Q69" s="37" cm="1">
        <f t="array" aca="1" ref="Q69" ca="1">_xlfn.LET(_xlpm.p,P69,_xlpm.e,E69,_xlpm.k,K69,_xlpm.b,INDEX($Y$54:$AJ$54,1,_xlpm.p),_xlpm.s,INDEX($Y$53:$AJ$53,1,_xlpm.p),IF(_xlpm.e="Undetermined","",IF(T69=1,"#N/A",IF(OR(_xlpm.p&lt;1,_xlpm.p&gt;12),"invalid std",_xlpm.k*10^((_xlpm.e-_xlpm.b)/_xlpm.s)))))</f>
        <v>73.745765116474459</v>
      </c>
      <c r="R69" s="37">
        <f t="shared" ca="1" si="0"/>
        <v>71.66734238463556</v>
      </c>
      <c r="S69" s="37" t="str">
        <f t="shared" ca="1" si="2"/>
        <v/>
      </c>
      <c r="T69" s="9">
        <v>0</v>
      </c>
      <c r="U69" s="10"/>
      <c r="W69" s="4"/>
      <c r="X69" s="2"/>
      <c r="Y69" s="2"/>
      <c r="AA69" s="2"/>
      <c r="AB69" s="2"/>
      <c r="AC69" s="2"/>
      <c r="AD69" s="2"/>
      <c r="AE69" s="2"/>
      <c r="AF69" s="2"/>
      <c r="AG69" s="2"/>
      <c r="AH69" s="2"/>
      <c r="AI69" s="2"/>
      <c r="AK69" s="184"/>
      <c r="AO69" s="13"/>
      <c r="AP69" s="13"/>
    </row>
    <row r="70" spans="1:42" x14ac:dyDescent="0.25">
      <c r="A70" s="25">
        <v>65</v>
      </c>
      <c r="B70" s="156" t="s">
        <v>111</v>
      </c>
      <c r="C70" s="162" t="s">
        <v>203</v>
      </c>
      <c r="D70" s="9" t="s">
        <v>204</v>
      </c>
      <c r="E70" s="163">
        <v>26.148537130483898</v>
      </c>
      <c r="F70" s="164">
        <v>80.918701171875</v>
      </c>
      <c r="G70" s="171">
        <v>0.1</v>
      </c>
      <c r="H70" s="31" t="str" cm="1">
        <f t="array" ref="H70">IF(ISNUMBER(SEARCH("; ",AB11)), TRIM(INDEX(_xlfn.TEXTSPLIT(AB11,"; "),1)), AB11)</f>
        <v>std1[0.64]_progen#62008</v>
      </c>
      <c r="I70" s="31" t="str" cm="1">
        <f t="array" ref="I70">IF(ISNUMBER(SEARCH("; ",AB11)), TRIM(INDEX(_xlfn.TEXTSPLIT(AB11,"; "),2)), "")</f>
        <v/>
      </c>
      <c r="J70" s="9">
        <v>33</v>
      </c>
      <c r="K70" s="34" t="str">
        <v>1</v>
      </c>
      <c r="L70" s="34">
        <v>1</v>
      </c>
      <c r="M70" s="34">
        <v>0</v>
      </c>
      <c r="N70" s="34">
        <v>0</v>
      </c>
      <c r="O70" s="34">
        <v>0</v>
      </c>
      <c r="P70" s="9">
        <v>1</v>
      </c>
      <c r="Q70" s="37" cm="1">
        <f t="array" aca="1" ref="Q70" ca="1">_xlfn.LET(_xlpm.p,P70,_xlpm.e,E70,_xlpm.k,K70,_xlpm.b,INDEX($Y$54:$AJ$54,1,_xlpm.p),_xlpm.s,INDEX($Y$53:$AJ$53,1,_xlpm.p),IF(_xlpm.e="Undetermined","",IF(T70=1,"#N/A",IF(OR(_xlpm.p&lt;1,_xlpm.p&gt;12),"invalid std",_xlpm.k*10^((_xlpm.e-_xlpm.b)/_xlpm.s)))))</f>
        <v>0.63334880422609441</v>
      </c>
      <c r="R70" s="37">
        <f t="shared" ref="R70:R91" ca="1" si="11">IFERROR(AVERAGEIF(J:J,J70,Q:Q),"")</f>
        <v>0.63432961048502634</v>
      </c>
      <c r="S70" s="37">
        <f t="shared" ref="S70:S101" ca="1" si="12">IFERROR(Q70/MID(H70,FIND("[",H70)+1,FIND("]",H70)-FIND("[",H70)-1),"")</f>
        <v>0.98960750660327246</v>
      </c>
      <c r="T70" s="9">
        <v>0</v>
      </c>
      <c r="U70" s="10"/>
      <c r="W70" s="4"/>
      <c r="X70" s="2"/>
      <c r="Y70" s="2"/>
      <c r="AA70" s="2"/>
      <c r="AB70" s="2"/>
      <c r="AC70" s="2"/>
      <c r="AD70" s="2"/>
      <c r="AE70" s="2"/>
      <c r="AF70" s="2"/>
      <c r="AG70" s="2"/>
      <c r="AH70" s="2"/>
      <c r="AI70" s="2"/>
      <c r="AK70" s="184"/>
    </row>
    <row r="71" spans="1:42" x14ac:dyDescent="0.25">
      <c r="A71" s="25">
        <v>66</v>
      </c>
      <c r="B71" s="156" t="s">
        <v>112</v>
      </c>
      <c r="C71" s="165" t="s">
        <v>203</v>
      </c>
      <c r="D71" s="166" t="s">
        <v>204</v>
      </c>
      <c r="E71" s="166">
        <v>26.144124743732299</v>
      </c>
      <c r="F71" s="164">
        <v>80.918701171875</v>
      </c>
      <c r="G71" s="171">
        <v>0.1</v>
      </c>
      <c r="H71" s="31" t="str" cm="1">
        <f t="array" ref="H71">IF(ISNUMBER(SEARCH("; ",AC11)), TRIM(INDEX(_xlfn.TEXTSPLIT(AC11,"; "),1)), AC11)</f>
        <v>std1[0.64]_progen#62008</v>
      </c>
      <c r="I71" s="31" t="str" cm="1">
        <f t="array" ref="I71">IF(ISNUMBER(SEARCH("; ",AC11)), TRIM(INDEX(_xlfn.TEXTSPLIT(AC11,"; "),2)), "")</f>
        <v/>
      </c>
      <c r="J71" s="9">
        <v>33</v>
      </c>
      <c r="K71" s="34" t="str">
        <v>1</v>
      </c>
      <c r="L71" s="34">
        <v>1</v>
      </c>
      <c r="M71" s="34">
        <v>0</v>
      </c>
      <c r="N71" s="34">
        <v>0</v>
      </c>
      <c r="O71" s="34">
        <v>0</v>
      </c>
      <c r="P71" s="9">
        <v>1</v>
      </c>
      <c r="Q71" s="37" cm="1">
        <f t="array" aca="1" ref="Q71" ca="1">_xlfn.LET(_xlpm.p,P71,_xlpm.e,E71,_xlpm.k,K71,_xlpm.b,INDEX($Y$54:$AJ$54,1,_xlpm.p),_xlpm.s,INDEX($Y$53:$AJ$53,1,_xlpm.p),IF(_xlpm.e="Undetermined","",IF(T71=1,"#N/A",IF(OR(_xlpm.p&lt;1,_xlpm.p&gt;12),"invalid std",_xlpm.k*10^((_xlpm.e-_xlpm.b)/_xlpm.s)))))</f>
        <v>0.63531041674395827</v>
      </c>
      <c r="R71" s="37">
        <f t="shared" ca="1" si="11"/>
        <v>0.63432961048502634</v>
      </c>
      <c r="S71" s="37">
        <f t="shared" ca="1" si="12"/>
        <v>0.99267252616243473</v>
      </c>
      <c r="T71" s="9">
        <v>0</v>
      </c>
      <c r="U71" s="10"/>
      <c r="W71" s="39" t="s">
        <v>154</v>
      </c>
      <c r="X71" s="44"/>
      <c r="Y71" s="2"/>
      <c r="AA71" s="2"/>
      <c r="AB71" s="2"/>
      <c r="AC71" s="2"/>
      <c r="AD71" s="2"/>
      <c r="AE71" s="2"/>
      <c r="AF71" s="2"/>
      <c r="AG71" s="2"/>
      <c r="AH71" s="2"/>
      <c r="AI71" s="2"/>
      <c r="AK71" s="184"/>
    </row>
    <row r="72" spans="1:42" ht="21" x14ac:dyDescent="0.35">
      <c r="A72" s="25">
        <v>67</v>
      </c>
      <c r="B72" s="156" t="s">
        <v>113</v>
      </c>
      <c r="C72" s="165" t="s">
        <v>203</v>
      </c>
      <c r="D72" s="166" t="s">
        <v>204</v>
      </c>
      <c r="E72" s="166">
        <v>25.898182629530201</v>
      </c>
      <c r="F72" s="164">
        <v>80.958518981933594</v>
      </c>
      <c r="G72" s="171">
        <v>0.1</v>
      </c>
      <c r="H72" s="31" t="str" cm="1">
        <f t="array" ref="H72">IF(ISNUMBER(SEARCH("; ",AD11)), TRIM(INDEX(_xlfn.TEXTSPLIT(AD11,"; "),1)), AD11)</f>
        <v>MiND25187AE-1</v>
      </c>
      <c r="I72" s="31" t="str" cm="1">
        <f t="array" ref="I72">IF(ISNUMBER(SEARCH("; ",AD11)), TRIM(INDEX(_xlfn.TEXTSPLIT(AD11,"; "),2)), "")</f>
        <v>NURF589405</v>
      </c>
      <c r="J72" s="9">
        <v>34</v>
      </c>
      <c r="K72" s="34" t="str">
        <v>10</v>
      </c>
      <c r="L72" s="34">
        <v>1</v>
      </c>
      <c r="M72" s="34">
        <v>0</v>
      </c>
      <c r="N72" s="34">
        <v>0</v>
      </c>
      <c r="O72" s="34">
        <v>0</v>
      </c>
      <c r="P72" s="9">
        <v>1</v>
      </c>
      <c r="Q72" s="37" cm="1">
        <f t="array" aca="1" ref="Q72" ca="1">_xlfn.LET(_xlpm.p,P72,_xlpm.e,E72,_xlpm.k,K72,_xlpm.b,INDEX($Y$54:$AJ$54,1,_xlpm.p),_xlpm.s,INDEX($Y$53:$AJ$53,1,_xlpm.p),IF(_xlpm.e="Undetermined","",IF(T72=1,"#N/A",IF(OR(_xlpm.p&lt;1,_xlpm.p&gt;12),"invalid std",_xlpm.k*10^((_xlpm.e-_xlpm.b)/_xlpm.s)))))</f>
        <v>7.5482220395221251</v>
      </c>
      <c r="R72" s="37">
        <f t="shared" ca="1" si="11"/>
        <v>7.3946263318947727</v>
      </c>
      <c r="S72" s="37" t="str">
        <f t="shared" ca="1" si="12"/>
        <v/>
      </c>
      <c r="T72" s="9">
        <v>0</v>
      </c>
      <c r="U72" s="10"/>
      <c r="W72" s="40" t="s">
        <v>61</v>
      </c>
      <c r="X72" s="41">
        <v>1</v>
      </c>
      <c r="Y72" s="41">
        <v>2</v>
      </c>
      <c r="Z72" s="40">
        <v>3</v>
      </c>
      <c r="AA72" s="42">
        <v>4</v>
      </c>
      <c r="AB72" s="41">
        <v>5</v>
      </c>
      <c r="AC72" s="41">
        <v>6</v>
      </c>
      <c r="AD72" s="40">
        <v>7</v>
      </c>
      <c r="AE72" s="42">
        <v>8</v>
      </c>
      <c r="AF72" s="41">
        <v>9</v>
      </c>
      <c r="AG72" s="41">
        <v>10</v>
      </c>
      <c r="AH72" s="40">
        <v>11</v>
      </c>
      <c r="AI72" s="42">
        <v>12</v>
      </c>
      <c r="AK72" s="184"/>
      <c r="AL72" s="105"/>
    </row>
    <row r="73" spans="1:42" x14ac:dyDescent="0.25">
      <c r="A73" s="25">
        <v>68</v>
      </c>
      <c r="B73" s="156" t="s">
        <v>114</v>
      </c>
      <c r="C73" s="162" t="s">
        <v>203</v>
      </c>
      <c r="D73" s="9" t="s">
        <v>204</v>
      </c>
      <c r="E73" s="163">
        <v>25.9574656465945</v>
      </c>
      <c r="F73" s="164">
        <v>80.958518981933594</v>
      </c>
      <c r="G73" s="171">
        <v>0.1</v>
      </c>
      <c r="H73" s="31" t="str" cm="1">
        <f t="array" ref="H73">IF(ISNUMBER(SEARCH("; ",AE11)), TRIM(INDEX(_xlfn.TEXTSPLIT(AE11,"; "),1)), AE11)</f>
        <v>MiND25187AE-1</v>
      </c>
      <c r="I73" s="31" t="str" cm="1">
        <f t="array" ref="I73">IF(ISNUMBER(SEARCH("; ",AE11)), TRIM(INDEX(_xlfn.TEXTSPLIT(AE11,"; "),2)), "")</f>
        <v>NURF589405</v>
      </c>
      <c r="J73" s="9">
        <v>34</v>
      </c>
      <c r="K73" s="34" t="str">
        <v>10</v>
      </c>
      <c r="L73" s="34">
        <v>1</v>
      </c>
      <c r="M73" s="34">
        <v>0</v>
      </c>
      <c r="N73" s="34">
        <v>0</v>
      </c>
      <c r="O73" s="34">
        <v>0</v>
      </c>
      <c r="P73" s="9">
        <v>1</v>
      </c>
      <c r="Q73" s="37" cm="1">
        <f t="array" aca="1" ref="Q73" ca="1">_xlfn.LET(_xlpm.p,P73,_xlpm.e,E73,_xlpm.k,K73,_xlpm.b,INDEX($Y$54:$AJ$54,1,_xlpm.p),_xlpm.s,INDEX($Y$53:$AJ$53,1,_xlpm.p),IF(_xlpm.e="Undetermined","",IF(T73=1,"#N/A",IF(OR(_xlpm.p&lt;1,_xlpm.p&gt;12),"invalid std",_xlpm.k*10^((_xlpm.e-_xlpm.b)/_xlpm.s)))))</f>
        <v>7.2410306242674203</v>
      </c>
      <c r="R73" s="37">
        <f t="shared" ca="1" si="11"/>
        <v>7.3946263318947727</v>
      </c>
      <c r="S73" s="37" t="str">
        <f t="shared" ca="1" si="12"/>
        <v/>
      </c>
      <c r="T73" s="9">
        <v>0</v>
      </c>
      <c r="U73" s="10"/>
      <c r="W73" s="43" t="s">
        <v>26</v>
      </c>
      <c r="X73" s="65" cm="1">
        <f t="array" aca="1" ref="X73:AI73" ca="1">TRANSPOSE(Q6:Q17)</f>
        <v>89.184518642390003</v>
      </c>
      <c r="Y73" s="65">
        <f ca="1"/>
        <v>96.837591659261136</v>
      </c>
      <c r="Z73" s="65">
        <f ca="1"/>
        <v>11.032874255057422</v>
      </c>
      <c r="AA73" s="65">
        <f ca="1"/>
        <v>11.544526734548441</v>
      </c>
      <c r="AB73" s="65">
        <f ca="1"/>
        <v>2109.5730853797863</v>
      </c>
      <c r="AC73" s="65">
        <f ca="1"/>
        <v>1999.6621884015349</v>
      </c>
      <c r="AD73" s="65">
        <f ca="1"/>
        <v>22.720569218791461</v>
      </c>
      <c r="AE73" s="65">
        <f ca="1"/>
        <v>17.53338692757066</v>
      </c>
      <c r="AF73" s="65">
        <f ca="1"/>
        <v>6.3232737100255489</v>
      </c>
      <c r="AG73" s="65">
        <f ca="1"/>
        <v>6.1284284492444199</v>
      </c>
      <c r="AH73" s="65">
        <f ca="1"/>
        <v>21.940901836176728</v>
      </c>
      <c r="AI73" s="66">
        <f ca="1"/>
        <v>19.320375474428097</v>
      </c>
      <c r="AK73" s="184"/>
      <c r="AM73" s="2"/>
      <c r="AN73" s="2"/>
      <c r="AO73" s="2"/>
      <c r="AP73" s="2"/>
    </row>
    <row r="74" spans="1:42" x14ac:dyDescent="0.25">
      <c r="A74" s="25">
        <v>69</v>
      </c>
      <c r="B74" s="156" t="s">
        <v>115</v>
      </c>
      <c r="C74" s="162" t="s">
        <v>203</v>
      </c>
      <c r="D74" s="9" t="s">
        <v>204</v>
      </c>
      <c r="E74" s="163">
        <v>24.923594327536598</v>
      </c>
      <c r="F74" s="164">
        <v>80.918106079101506</v>
      </c>
      <c r="G74" s="171">
        <v>0.1</v>
      </c>
      <c r="H74" s="31" t="str" cm="1">
        <f t="array" ref="H74">IF(ISNUMBER(SEARCH("; ",AF11)), TRIM(INDEX(_xlfn.TEXTSPLIT(AF11,"; "),1)), AF11)</f>
        <v>MiND12250JO-1</v>
      </c>
      <c r="I74" s="31" t="str" cm="1">
        <f t="array" ref="I74">IF(ISNUMBER(SEARCH("; ",AF11)), TRIM(INDEX(_xlfn.TEXTSPLIT(AF11,"; "),2)), "")</f>
        <v>NURG116233</v>
      </c>
      <c r="J74" s="9">
        <v>35</v>
      </c>
      <c r="K74" s="34" t="str">
        <v>10</v>
      </c>
      <c r="L74" s="34">
        <v>1</v>
      </c>
      <c r="M74" s="34">
        <v>0</v>
      </c>
      <c r="N74" s="34">
        <v>0</v>
      </c>
      <c r="O74" s="34">
        <v>0</v>
      </c>
      <c r="P74" s="9">
        <v>1</v>
      </c>
      <c r="Q74" s="37" cm="1">
        <f t="array" aca="1" ref="Q74" ca="1">_xlfn.LET(_xlpm.p,P74,_xlpm.e,E74,_xlpm.k,K74,_xlpm.b,INDEX($Y$54:$AJ$54,1,_xlpm.p),_xlpm.s,INDEX($Y$53:$AJ$53,1,_xlpm.p),IF(_xlpm.e="Undetermined","",IF(T74=1,"#N/A",IF(OR(_xlpm.p&lt;1,_xlpm.p&gt;12),"invalid std",_xlpm.k*10^((_xlpm.e-_xlpm.b)/_xlpm.s)))))</f>
        <v>14.944631747527445</v>
      </c>
      <c r="R74" s="37">
        <f t="shared" ca="1" si="11"/>
        <v>16.389020541559496</v>
      </c>
      <c r="S74" s="37" t="str">
        <f t="shared" ca="1" si="12"/>
        <v/>
      </c>
      <c r="T74" s="9">
        <v>0</v>
      </c>
      <c r="U74" s="10"/>
      <c r="W74" s="70" t="s">
        <v>28</v>
      </c>
      <c r="X74" s="65" cm="1">
        <f t="array" aca="1" ref="X74:AI74" ca="1">TRANSPOSE(Q18:Q29)</f>
        <v>6.8644071241770952</v>
      </c>
      <c r="Y74" s="65">
        <f ca="1"/>
        <v>8.1055643820376471</v>
      </c>
      <c r="Z74" s="65">
        <f ca="1"/>
        <v>9.3964233166421778</v>
      </c>
      <c r="AA74" s="65">
        <f ca="1"/>
        <v>11.07125331060333</v>
      </c>
      <c r="AB74" s="65">
        <f ca="1"/>
        <v>402.41012392723059</v>
      </c>
      <c r="AC74" s="65">
        <f ca="1"/>
        <v>404.36859802211922</v>
      </c>
      <c r="AD74" s="65">
        <f ca="1"/>
        <v>13.611024502536665</v>
      </c>
      <c r="AE74" s="65">
        <f ca="1"/>
        <v>14.37550180007568</v>
      </c>
      <c r="AF74" s="65">
        <f ca="1"/>
        <v>12.352421189019672</v>
      </c>
      <c r="AG74" s="65">
        <f ca="1"/>
        <v>11.737490594230851</v>
      </c>
      <c r="AH74" s="65">
        <f ca="1"/>
        <v>118.30361027120432</v>
      </c>
      <c r="AI74" s="66">
        <f ca="1"/>
        <v>104.62346085023357</v>
      </c>
      <c r="AK74" s="184"/>
      <c r="AM74" s="103"/>
      <c r="AN74" s="104"/>
      <c r="AO74" s="102"/>
      <c r="AP74" s="102"/>
    </row>
    <row r="75" spans="1:42" x14ac:dyDescent="0.25">
      <c r="A75" s="25">
        <v>70</v>
      </c>
      <c r="B75" s="156" t="s">
        <v>116</v>
      </c>
      <c r="C75" s="162" t="s">
        <v>203</v>
      </c>
      <c r="D75" s="9" t="s">
        <v>204</v>
      </c>
      <c r="E75" s="163">
        <v>24.671441230376399</v>
      </c>
      <c r="F75" s="164">
        <v>81.055091857910099</v>
      </c>
      <c r="G75" s="171">
        <v>0.1</v>
      </c>
      <c r="H75" s="31" t="str" cm="1">
        <f t="array" ref="H75">IF(ISNUMBER(SEARCH("; ",AG11)), TRIM(INDEX(_xlfn.TEXTSPLIT(AG11,"; "),1)), AG11)</f>
        <v>MiND12250JO-1</v>
      </c>
      <c r="I75" s="31" t="str" cm="1">
        <f t="array" ref="I75">IF(ISNUMBER(SEARCH("; ",AG11)), TRIM(INDEX(_xlfn.TEXTSPLIT(AG11,"; "),2)), "")</f>
        <v>NURG116233</v>
      </c>
      <c r="J75" s="9">
        <v>35</v>
      </c>
      <c r="K75" s="34" t="str">
        <v>10</v>
      </c>
      <c r="L75" s="34">
        <v>1</v>
      </c>
      <c r="M75" s="34">
        <v>0</v>
      </c>
      <c r="N75" s="34">
        <v>0</v>
      </c>
      <c r="O75" s="34">
        <v>0</v>
      </c>
      <c r="P75" s="9">
        <v>1</v>
      </c>
      <c r="Q75" s="37" cm="1">
        <f t="array" aca="1" ref="Q75" ca="1">_xlfn.LET(_xlpm.p,P75,_xlpm.e,E75,_xlpm.k,K75,_xlpm.b,INDEX($Y$54:$AJ$54,1,_xlpm.p),_xlpm.s,INDEX($Y$53:$AJ$53,1,_xlpm.p),IF(_xlpm.e="Undetermined","",IF(T75=1,"#N/A",IF(OR(_xlpm.p&lt;1,_xlpm.p&gt;12),"invalid std",_xlpm.k*10^((_xlpm.e-_xlpm.b)/_xlpm.s)))))</f>
        <v>17.833409335591547</v>
      </c>
      <c r="R75" s="37">
        <f t="shared" ca="1" si="11"/>
        <v>16.389020541559496</v>
      </c>
      <c r="S75" s="37" t="str">
        <f t="shared" ca="1" si="12"/>
        <v/>
      </c>
      <c r="T75" s="9">
        <v>0</v>
      </c>
      <c r="U75" s="10"/>
      <c r="W75" s="43" t="s">
        <v>30</v>
      </c>
      <c r="X75" s="65" cm="1">
        <f t="array" aca="1" ref="X75:AI75" ca="1">TRANSPOSE(Q30:Q41)</f>
        <v>22.210062744633802</v>
      </c>
      <c r="Y75" s="65">
        <f ca="1"/>
        <v>23.98742461923614</v>
      </c>
      <c r="Z75" s="65">
        <f ca="1"/>
        <v>12.176604369619524</v>
      </c>
      <c r="AA75" s="65">
        <f ca="1"/>
        <v>12.310339496743822</v>
      </c>
      <c r="AB75" s="65">
        <f ca="1"/>
        <v>80.913042442449083</v>
      </c>
      <c r="AC75" s="65">
        <f ca="1"/>
        <v>78.905224933009023</v>
      </c>
      <c r="AD75" s="65">
        <f ca="1"/>
        <v>7.7783814163757947</v>
      </c>
      <c r="AE75" s="65">
        <f ca="1"/>
        <v>8.1736516179513767</v>
      </c>
      <c r="AF75" s="65">
        <f ca="1"/>
        <v>38.760052045451204</v>
      </c>
      <c r="AG75" s="65">
        <f ca="1"/>
        <v>35.237707198243619</v>
      </c>
      <c r="AH75" s="65">
        <f ca="1"/>
        <v>7.7637215182628703</v>
      </c>
      <c r="AI75" s="66">
        <f ca="1"/>
        <v>6.9265001683631393</v>
      </c>
      <c r="AK75" s="184"/>
      <c r="AM75" s="103"/>
      <c r="AN75" s="103"/>
      <c r="AO75" s="103"/>
      <c r="AP75" s="103"/>
    </row>
    <row r="76" spans="1:42" x14ac:dyDescent="0.25">
      <c r="A76" s="25">
        <v>71</v>
      </c>
      <c r="B76" s="156" t="s">
        <v>117</v>
      </c>
      <c r="C76" s="165" t="s">
        <v>203</v>
      </c>
      <c r="D76" s="166" t="s">
        <v>204</v>
      </c>
      <c r="E76" s="166">
        <v>25.8027211481037</v>
      </c>
      <c r="F76" s="164">
        <v>80.765129089355398</v>
      </c>
      <c r="G76" s="171">
        <v>0.1</v>
      </c>
      <c r="H76" s="31" t="str" cm="1">
        <f t="array" ref="H76">IF(ISNUMBER(SEARCH("; ",AH11)), TRIM(INDEX(_xlfn.TEXTSPLIT(AH11,"; "),1)), AH11)</f>
        <v>NFL-QC-L</v>
      </c>
      <c r="I76" s="31" t="str" cm="1">
        <f t="array" ref="I76">IF(ISNUMBER(SEARCH("; ",AH11)), TRIM(INDEX(_xlfn.TEXTSPLIT(AH11,"; "),2)), "")</f>
        <v/>
      </c>
      <c r="J76" s="9">
        <v>36</v>
      </c>
      <c r="K76" s="34" t="str">
        <v>10</v>
      </c>
      <c r="L76" s="34">
        <v>1</v>
      </c>
      <c r="M76" s="34">
        <v>0</v>
      </c>
      <c r="N76" s="34">
        <v>0</v>
      </c>
      <c r="O76" s="34">
        <v>0</v>
      </c>
      <c r="P76" s="9">
        <v>1</v>
      </c>
      <c r="Q76" s="37" cm="1">
        <f t="array" aca="1" ref="Q76" ca="1">_xlfn.LET(_xlpm.p,P76,_xlpm.e,E76,_xlpm.k,K76,_xlpm.b,INDEX($Y$54:$AJ$54,1,_xlpm.p),_xlpm.s,INDEX($Y$53:$AJ$53,1,_xlpm.p),IF(_xlpm.e="Undetermined","",IF(T76=1,"#N/A",IF(OR(_xlpm.p&lt;1,_xlpm.p&gt;12),"invalid std",_xlpm.k*10^((_xlpm.e-_xlpm.b)/_xlpm.s)))))</f>
        <v>8.0705062566286987</v>
      </c>
      <c r="R76" s="37">
        <f t="shared" ca="1" si="11"/>
        <v>8.0335643361342068</v>
      </c>
      <c r="S76" s="37" t="str">
        <f t="shared" ca="1" si="12"/>
        <v/>
      </c>
      <c r="T76" s="9">
        <v>0</v>
      </c>
      <c r="U76" s="10"/>
      <c r="W76" s="70" t="s">
        <v>32</v>
      </c>
      <c r="X76" s="65" cm="1">
        <f t="array" aca="1" ref="X76:AI76" ca="1">TRANSPOSE(Q42:Q53)</f>
        <v>6.9047873152677353</v>
      </c>
      <c r="Y76" s="65">
        <f ca="1"/>
        <v>7.7589615835535604</v>
      </c>
      <c r="Z76" s="65">
        <f ca="1"/>
        <v>7.1997210963424791</v>
      </c>
      <c r="AA76" s="65">
        <f ca="1"/>
        <v>7.1561045407979051</v>
      </c>
      <c r="AB76" s="65">
        <f ca="1"/>
        <v>16.095483377525184</v>
      </c>
      <c r="AC76" s="65">
        <f ca="1"/>
        <v>14.722823636228677</v>
      </c>
      <c r="AD76" s="65">
        <f ca="1"/>
        <v>12.268154179262174</v>
      </c>
      <c r="AE76" s="65">
        <f ca="1"/>
        <v>12.428220486159651</v>
      </c>
      <c r="AF76" s="65">
        <f ca="1"/>
        <v>31.532610257836325</v>
      </c>
      <c r="AG76" s="65">
        <f ca="1"/>
        <v>32.070804408294094</v>
      </c>
      <c r="AH76" s="65">
        <f ca="1"/>
        <v>117.67390234320706</v>
      </c>
      <c r="AI76" s="66">
        <f ca="1"/>
        <v>115.10058470927942</v>
      </c>
      <c r="AK76" s="184"/>
      <c r="AM76" s="103"/>
      <c r="AN76" s="103"/>
      <c r="AO76" s="103"/>
      <c r="AP76" s="103"/>
    </row>
    <row r="77" spans="1:42" x14ac:dyDescent="0.25">
      <c r="A77" s="25">
        <v>72</v>
      </c>
      <c r="B77" s="157" t="s">
        <v>118</v>
      </c>
      <c r="C77" s="167" t="s">
        <v>203</v>
      </c>
      <c r="D77" s="168" t="s">
        <v>204</v>
      </c>
      <c r="E77" s="168">
        <v>25.815843728325099</v>
      </c>
      <c r="F77" s="169">
        <v>80.765129089355398</v>
      </c>
      <c r="G77" s="172">
        <v>0.1</v>
      </c>
      <c r="H77" s="32" t="str" cm="1">
        <f t="array" ref="H77">IF(ISNUMBER(SEARCH("; ",AI11)), TRIM(INDEX(_xlfn.TEXTSPLIT(AI11,"; "),1)), AI11)</f>
        <v>NFL-QC-L</v>
      </c>
      <c r="I77" s="32" t="str" cm="1">
        <f t="array" ref="I77">IF(ISNUMBER(SEARCH("; ",AI11)), TRIM(INDEX(_xlfn.TEXTSPLIT(AI11,"; "),2)), "")</f>
        <v/>
      </c>
      <c r="J77" s="11">
        <v>36</v>
      </c>
      <c r="K77" s="35" t="str">
        <v>10</v>
      </c>
      <c r="L77" s="35">
        <v>1</v>
      </c>
      <c r="M77" s="35">
        <v>0</v>
      </c>
      <c r="N77" s="35">
        <v>0</v>
      </c>
      <c r="O77" s="35">
        <v>0</v>
      </c>
      <c r="P77" s="11">
        <v>1</v>
      </c>
      <c r="Q77" s="38" cm="1">
        <f t="array" aca="1" ref="Q77" ca="1">_xlfn.LET(_xlpm.p,P77,_xlpm.e,E77,_xlpm.k,K77,_xlpm.b,INDEX($Y$54:$AJ$54,1,_xlpm.p),_xlpm.s,INDEX($Y$53:$AJ$53,1,_xlpm.p),IF(_xlpm.e="Undetermined","",IF(T77=1,"#N/A",IF(OR(_xlpm.p&lt;1,_xlpm.p&gt;12),"invalid std",_xlpm.k*10^((_xlpm.e-_xlpm.b)/_xlpm.s)))))</f>
        <v>7.9966224156397159</v>
      </c>
      <c r="R77" s="38">
        <f t="shared" ca="1" si="11"/>
        <v>8.0335643361342068</v>
      </c>
      <c r="S77" s="38" t="str">
        <f t="shared" ca="1" si="12"/>
        <v/>
      </c>
      <c r="T77" s="11">
        <v>0</v>
      </c>
      <c r="U77" s="12"/>
      <c r="W77" s="43" t="s">
        <v>34</v>
      </c>
      <c r="X77" s="65" cm="1">
        <f t="array" aca="1" ref="X77:AI77" ca="1">TRANSPOSE(Q54:Q65)</f>
        <v>13.560331351054904</v>
      </c>
      <c r="Y77" s="65">
        <f ca="1"/>
        <v>14.285105382603041</v>
      </c>
      <c r="Z77" s="65">
        <f ca="1"/>
        <v>12.945865494117896</v>
      </c>
      <c r="AA77" s="65">
        <f ca="1"/>
        <v>13.009293768634404</v>
      </c>
      <c r="AB77" s="65">
        <f ca="1"/>
        <v>3.2203991105073366</v>
      </c>
      <c r="AC77" s="65">
        <f ca="1"/>
        <v>2.9586587211411524</v>
      </c>
      <c r="AD77" s="65">
        <f ca="1"/>
        <v>5.9120832257969225</v>
      </c>
      <c r="AE77" s="65">
        <f ca="1"/>
        <v>5.777975035308506</v>
      </c>
      <c r="AF77" s="65">
        <f ca="1"/>
        <v>6.7610788687139545</v>
      </c>
      <c r="AG77" s="65">
        <f ca="1"/>
        <v>6.9303755676046617</v>
      </c>
      <c r="AH77" s="65">
        <f ca="1"/>
        <v>119.25505336129632</v>
      </c>
      <c r="AI77" s="66">
        <f ca="1"/>
        <v>100.95221924958777</v>
      </c>
      <c r="AK77" s="184"/>
    </row>
    <row r="78" spans="1:42" x14ac:dyDescent="0.25">
      <c r="A78" s="24">
        <v>73</v>
      </c>
      <c r="B78" s="156" t="s">
        <v>119</v>
      </c>
      <c r="C78" s="162" t="s">
        <v>203</v>
      </c>
      <c r="D78" s="9" t="s">
        <v>204</v>
      </c>
      <c r="E78" s="163">
        <v>25.9393414622756</v>
      </c>
      <c r="F78" s="164">
        <v>80.940422058105398</v>
      </c>
      <c r="G78" s="8">
        <v>0.1</v>
      </c>
      <c r="H78" s="31" t="str" cm="1">
        <f t="array" ref="H78">IF(ISNUMBER(SEARCH("; ",X12)), TRIM(INDEX(_xlfn.TEXTSPLIT(X12,"; "),1)), X12)</f>
        <v>MiND33340SC-1</v>
      </c>
      <c r="I78" s="31" t="str" cm="1">
        <f t="array" ref="I78">IF(ISNUMBER(SEARCH("; ",X12)), TRIM(INDEX(_xlfn.TEXTSPLIT(X12,"; "),2)), "")</f>
        <v>NURG338190</v>
      </c>
      <c r="J78" s="9">
        <v>37</v>
      </c>
      <c r="K78" s="34" t="str" cm="1">
        <f t="array" ref="K78:K89">TRANSPOSE(RIGHT(LEFT(X23:AI23,FIND(";",X23:AI23)-1),LEN(LEFT(X23:AI23,FIND(";",X23:AI23)-1))-1))</f>
        <v>10</v>
      </c>
      <c r="L78" s="34" cm="1">
        <f t="array" ref="L78:L89">TRANSPOSE(IF(ISNUMBER(SEARCH("v1",X23:AI23)),1,0))</f>
        <v>1</v>
      </c>
      <c r="M78" s="34" cm="1">
        <f t="array" ref="M78:M89">TRANSPOSE(IF(ISNUMBER(SEARCH("v2",X23:AI23)),1,0))</f>
        <v>0</v>
      </c>
      <c r="N78" s="34" cm="1">
        <f t="array" ref="N78:N89">TRANSPOSE(IF(ISNUMBER(SEARCH("v3",X23:AI23)),1,0))</f>
        <v>0</v>
      </c>
      <c r="O78" s="34" cm="1">
        <f t="array" ref="O78:O89">TRANSPOSE(IF(ISNUMBER(SEARCH("v4",X23:AI23)),1,0))</f>
        <v>0</v>
      </c>
      <c r="P78" s="9">
        <v>1</v>
      </c>
      <c r="Q78" s="37" cm="1">
        <f t="array" aca="1" ref="Q78" ca="1">_xlfn.LET(_xlpm.p,P78,_xlpm.e,E78,_xlpm.k,K78,_xlpm.b,INDEX($Y$54:$AJ$54,1,_xlpm.p),_xlpm.s,INDEX($Y$53:$AJ$53,1,_xlpm.p),IF(_xlpm.e="Undetermined","",IF(T78=1,"#N/A",IF(OR(_xlpm.p&lt;1,_xlpm.p&gt;12),"invalid std",_xlpm.k*10^((_xlpm.e-_xlpm.b)/_xlpm.s)))))</f>
        <v>7.3335952531695758</v>
      </c>
      <c r="R78" s="37">
        <f t="shared" ca="1" si="11"/>
        <v>7.9985379474412888</v>
      </c>
      <c r="S78" s="37" t="str">
        <f t="shared" ca="1" si="12"/>
        <v/>
      </c>
      <c r="T78" s="9">
        <v>0</v>
      </c>
      <c r="U78" s="10"/>
      <c r="W78" s="70" t="s">
        <v>36</v>
      </c>
      <c r="X78" s="65" cm="1">
        <f t="array" aca="1" ref="X78:AI78" ca="1">TRANSPOSE(Q66:Q77)</f>
        <v>9.2131763233469393</v>
      </c>
      <c r="Y78" s="65">
        <f ca="1"/>
        <v>11.65627009577749</v>
      </c>
      <c r="Z78" s="65">
        <f ca="1"/>
        <v>69.588919652796648</v>
      </c>
      <c r="AA78" s="65">
        <f ca="1"/>
        <v>73.745765116474459</v>
      </c>
      <c r="AB78" s="65">
        <f ca="1"/>
        <v>0.63334880422609441</v>
      </c>
      <c r="AC78" s="65">
        <f ca="1"/>
        <v>0.63531041674395827</v>
      </c>
      <c r="AD78" s="65">
        <f ca="1"/>
        <v>7.5482220395221251</v>
      </c>
      <c r="AE78" s="65">
        <f ca="1"/>
        <v>7.2410306242674203</v>
      </c>
      <c r="AF78" s="65">
        <f ca="1"/>
        <v>14.944631747527445</v>
      </c>
      <c r="AG78" s="65">
        <f ca="1"/>
        <v>17.833409335591547</v>
      </c>
      <c r="AH78" s="65">
        <f ca="1"/>
        <v>8.0705062566286987</v>
      </c>
      <c r="AI78" s="66">
        <f ca="1"/>
        <v>7.9966224156397159</v>
      </c>
      <c r="AK78" s="184"/>
    </row>
    <row r="79" spans="1:42" x14ac:dyDescent="0.25">
      <c r="A79" s="25">
        <v>74</v>
      </c>
      <c r="B79" s="156" t="s">
        <v>120</v>
      </c>
      <c r="C79" s="162" t="s">
        <v>203</v>
      </c>
      <c r="D79" s="9" t="s">
        <v>204</v>
      </c>
      <c r="E79" s="163">
        <v>25.7015577601221</v>
      </c>
      <c r="F79" s="164">
        <v>80.803367614746094</v>
      </c>
      <c r="G79" s="8">
        <v>0.1</v>
      </c>
      <c r="H79" s="31" t="str" cm="1">
        <f t="array" ref="H79">IF(ISNUMBER(SEARCH("; ",Y12)), TRIM(INDEX(_xlfn.TEXTSPLIT(Y12,"; "),1)), Y12)</f>
        <v>MiND33340SC-1</v>
      </c>
      <c r="I79" s="31" t="str" cm="1">
        <f t="array" ref="I79">IF(ISNUMBER(SEARCH("; ",Y12)), TRIM(INDEX(_xlfn.TEXTSPLIT(Y12,"; "),2)), "")</f>
        <v>NURG338190</v>
      </c>
      <c r="J79" s="9">
        <v>37</v>
      </c>
      <c r="K79" s="34" t="str">
        <v>10</v>
      </c>
      <c r="L79" s="34">
        <v>1</v>
      </c>
      <c r="M79" s="34">
        <v>0</v>
      </c>
      <c r="N79" s="34">
        <v>0</v>
      </c>
      <c r="O79" s="34">
        <v>0</v>
      </c>
      <c r="P79" s="9">
        <v>1</v>
      </c>
      <c r="Q79" s="37" cm="1">
        <f t="array" aca="1" ref="Q79" ca="1">_xlfn.LET(_xlpm.p,P79,_xlpm.e,E79,_xlpm.k,K79,_xlpm.b,INDEX($Y$54:$AJ$54,1,_xlpm.p),_xlpm.s,INDEX($Y$53:$AJ$53,1,_xlpm.p),IF(_xlpm.e="Undetermined","",IF(T79=1,"#N/A",IF(OR(_xlpm.p&lt;1,_xlpm.p&gt;12),"invalid std",_xlpm.k*10^((_xlpm.e-_xlpm.b)/_xlpm.s)))))</f>
        <v>8.6634806417130026</v>
      </c>
      <c r="R79" s="37">
        <f t="shared" ca="1" si="11"/>
        <v>7.9985379474412888</v>
      </c>
      <c r="S79" s="37" t="str">
        <f t="shared" ca="1" si="12"/>
        <v/>
      </c>
      <c r="T79" s="9">
        <v>0</v>
      </c>
      <c r="U79" s="10"/>
      <c r="W79" s="43" t="s">
        <v>38</v>
      </c>
      <c r="X79" s="65" cm="1">
        <f t="array" aca="1" ref="X79:AI79" ca="1">TRANSPOSE(Q78:Q89)</f>
        <v>7.3335952531695758</v>
      </c>
      <c r="Y79" s="65">
        <f ca="1"/>
        <v>8.6634806417130026</v>
      </c>
      <c r="Z79" s="65">
        <f ca="1"/>
        <v>15.736751853759554</v>
      </c>
      <c r="AA79" s="65">
        <f ca="1"/>
        <v>17.705255081487326</v>
      </c>
      <c r="AB79" s="65">
        <f ca="1"/>
        <v>0.12881199168779592</v>
      </c>
      <c r="AC79" s="65">
        <f ca="1"/>
        <v>0.1404989250978233</v>
      </c>
      <c r="AD79" s="65">
        <f ca="1"/>
        <v>10.799672587806333</v>
      </c>
      <c r="AE79" s="65">
        <f ca="1"/>
        <v>10.304175769564905</v>
      </c>
      <c r="AF79" s="65">
        <f ca="1"/>
        <v>22.447998904243622</v>
      </c>
      <c r="AG79" s="65">
        <f ca="1"/>
        <v>24.836009938729539</v>
      </c>
      <c r="AH79" s="65">
        <f ca="1"/>
        <v>24.852989952683451</v>
      </c>
      <c r="AI79" s="66">
        <f ca="1"/>
        <v>21.456020875073524</v>
      </c>
      <c r="AK79" s="184"/>
    </row>
    <row r="80" spans="1:42" x14ac:dyDescent="0.25">
      <c r="A80" s="25">
        <v>75</v>
      </c>
      <c r="B80" s="156" t="s">
        <v>121</v>
      </c>
      <c r="C80" s="162" t="s">
        <v>203</v>
      </c>
      <c r="D80" s="9" t="s">
        <v>204</v>
      </c>
      <c r="E80" s="163">
        <v>24.849902793184398</v>
      </c>
      <c r="F80" s="164">
        <v>80.959739685058594</v>
      </c>
      <c r="G80" s="8">
        <v>0.1</v>
      </c>
      <c r="H80" s="31" t="str" cm="1">
        <f t="array" ref="H80">IF(ISNUMBER(SEARCH("; ",Z12)), TRIM(INDEX(_xlfn.TEXTSPLIT(Z12,"; "),1)), Z12)</f>
        <v>MiND12247JW-1</v>
      </c>
      <c r="I80" s="31" t="str" cm="1">
        <f t="array" ref="I80">IF(ISNUMBER(SEARCH("; ",Z12)), TRIM(INDEX(_xlfn.TEXTSPLIT(Z12,"; "),2)), "")</f>
        <v>NURF658042</v>
      </c>
      <c r="J80" s="9">
        <v>38</v>
      </c>
      <c r="K80" s="34" t="str">
        <v>10</v>
      </c>
      <c r="L80" s="34">
        <v>1</v>
      </c>
      <c r="M80" s="34">
        <v>0</v>
      </c>
      <c r="N80" s="34">
        <v>0</v>
      </c>
      <c r="O80" s="34">
        <v>0</v>
      </c>
      <c r="P80" s="9">
        <v>1</v>
      </c>
      <c r="Q80" s="37" cm="1">
        <f t="array" aca="1" ref="Q80" ca="1">_xlfn.LET(_xlpm.p,P80,_xlpm.e,E80,_xlpm.k,K80,_xlpm.b,INDEX($Y$54:$AJ$54,1,_xlpm.p),_xlpm.s,INDEX($Y$53:$AJ$53,1,_xlpm.p),IF(_xlpm.e="Undetermined","",IF(T80=1,"#N/A",IF(OR(_xlpm.p&lt;1,_xlpm.p&gt;12),"invalid std",_xlpm.k*10^((_xlpm.e-_xlpm.b)/_xlpm.s)))))</f>
        <v>15.736751853759554</v>
      </c>
      <c r="R80" s="37">
        <f t="shared" ca="1" si="11"/>
        <v>16.72100346762344</v>
      </c>
      <c r="S80" s="37" t="str">
        <f t="shared" ca="1" si="12"/>
        <v/>
      </c>
      <c r="T80" s="9">
        <v>0</v>
      </c>
      <c r="U80" s="10"/>
      <c r="W80" s="70" t="s">
        <v>40</v>
      </c>
      <c r="X80" s="77" cm="1">
        <f t="array" aca="1" ref="X80:AI80" ca="1">TRANSPOSE(Q90:Q101)</f>
        <v>20.19559408746867</v>
      </c>
      <c r="Y80" s="77">
        <f ca="1"/>
        <v>21.820607532254591</v>
      </c>
      <c r="Z80" s="77">
        <f ca="1"/>
        <v>7.3974597331060741</v>
      </c>
      <c r="AA80" s="77">
        <f ca="1"/>
        <v>7.122957825420178</v>
      </c>
      <c r="AB80" s="77">
        <f ca="1"/>
        <v>2.2258999760398728E-2</v>
      </c>
      <c r="AC80" s="77">
        <f ca="1"/>
        <v>1.6630080299270721E-2</v>
      </c>
      <c r="AD80" s="77">
        <f ca="1"/>
        <v>6.7192694908285837</v>
      </c>
      <c r="AE80" s="77">
        <f ca="1"/>
        <v>7.1180833926638387</v>
      </c>
      <c r="AF80" s="77">
        <f ca="1"/>
        <v>11.800993151400551</v>
      </c>
      <c r="AG80" s="77">
        <f ca="1"/>
        <v>12.562567919915148</v>
      </c>
      <c r="AH80" s="77">
        <f ca="1"/>
        <v>96.926214018471555</v>
      </c>
      <c r="AI80" s="78">
        <f ca="1"/>
        <v>91.38780874794881</v>
      </c>
      <c r="AK80" s="184"/>
    </row>
    <row r="81" spans="1:41" x14ac:dyDescent="0.25">
      <c r="A81" s="25">
        <v>76</v>
      </c>
      <c r="B81" s="156" t="s">
        <v>122</v>
      </c>
      <c r="C81" s="162" t="s">
        <v>203</v>
      </c>
      <c r="D81" s="9" t="s">
        <v>204</v>
      </c>
      <c r="E81" s="163">
        <v>24.681731785163102</v>
      </c>
      <c r="F81" s="164">
        <v>80.959739685058594</v>
      </c>
      <c r="G81" s="8">
        <v>0.1</v>
      </c>
      <c r="H81" s="31" t="str" cm="1">
        <f t="array" ref="H81">IF(ISNUMBER(SEARCH("; ",AA12)), TRIM(INDEX(_xlfn.TEXTSPLIT(AA12,"; "),1)), AA12)</f>
        <v>MiND12247JW-1</v>
      </c>
      <c r="I81" s="31" t="str" cm="1">
        <f t="array" ref="I81">IF(ISNUMBER(SEARCH("; ",AA12)), TRIM(INDEX(_xlfn.TEXTSPLIT(AA12,"; "),2)), "")</f>
        <v>NURF658042</v>
      </c>
      <c r="J81" s="9">
        <v>38</v>
      </c>
      <c r="K81" s="34" t="str">
        <v>10</v>
      </c>
      <c r="L81" s="34">
        <v>1</v>
      </c>
      <c r="M81" s="34">
        <v>0</v>
      </c>
      <c r="N81" s="34">
        <v>0</v>
      </c>
      <c r="O81" s="34">
        <v>0</v>
      </c>
      <c r="P81" s="9">
        <v>1</v>
      </c>
      <c r="Q81" s="37" cm="1">
        <f t="array" aca="1" ref="Q81" ca="1">_xlfn.LET(_xlpm.p,P81,_xlpm.e,E81,_xlpm.k,K81,_xlpm.b,INDEX($Y$54:$AJ$54,1,_xlpm.p),_xlpm.s,INDEX($Y$53:$AJ$53,1,_xlpm.p),IF(_xlpm.e="Undetermined","",IF(T81=1,"#N/A",IF(OR(_xlpm.p&lt;1,_xlpm.p&gt;12),"invalid std",_xlpm.k*10^((_xlpm.e-_xlpm.b)/_xlpm.s)))))</f>
        <v>17.705255081487326</v>
      </c>
      <c r="R81" s="37">
        <f t="shared" ca="1" si="11"/>
        <v>16.72100346762344</v>
      </c>
      <c r="S81" s="37" t="str">
        <f t="shared" ca="1" si="12"/>
        <v/>
      </c>
      <c r="T81" s="9">
        <v>0</v>
      </c>
      <c r="U81" s="10"/>
      <c r="AK81" s="184"/>
    </row>
    <row r="82" spans="1:41" x14ac:dyDescent="0.25">
      <c r="A82" s="25">
        <v>77</v>
      </c>
      <c r="B82" s="156" t="s">
        <v>123</v>
      </c>
      <c r="C82" s="162" t="s">
        <v>203</v>
      </c>
      <c r="D82" s="9" t="s">
        <v>204</v>
      </c>
      <c r="E82" s="163">
        <v>28.421017156168901</v>
      </c>
      <c r="F82" s="164">
        <v>81.055679321289006</v>
      </c>
      <c r="G82" s="8">
        <v>0.1</v>
      </c>
      <c r="H82" s="31" t="str" cm="1">
        <f t="array" ref="H82">IF(ISNUMBER(SEARCH("; ",AB12)), TRIM(INDEX(_xlfn.TEXTSPLIT(AB12,"; "),1)), AB12)</f>
        <v>std1[0.128]_progen#62008</v>
      </c>
      <c r="I82" s="31" t="str" cm="1">
        <f t="array" ref="I82">IF(ISNUMBER(SEARCH("; ",AB12)), TRIM(INDEX(_xlfn.TEXTSPLIT(AB12,"; "),2)), "")</f>
        <v/>
      </c>
      <c r="J82" s="9">
        <v>39</v>
      </c>
      <c r="K82" s="34" t="str">
        <v>1</v>
      </c>
      <c r="L82" s="34">
        <v>1</v>
      </c>
      <c r="M82" s="34">
        <v>0</v>
      </c>
      <c r="N82" s="34">
        <v>0</v>
      </c>
      <c r="O82" s="34">
        <v>0</v>
      </c>
      <c r="P82" s="9">
        <v>1</v>
      </c>
      <c r="Q82" s="37" cm="1">
        <f t="array" aca="1" ref="Q82" ca="1">_xlfn.LET(_xlpm.p,P82,_xlpm.e,E82,_xlpm.k,K82,_xlpm.b,INDEX($Y$54:$AJ$54,1,_xlpm.p),_xlpm.s,INDEX($Y$53:$AJ$53,1,_xlpm.p),IF(_xlpm.e="Undetermined","",IF(T82=1,"#N/A",IF(OR(_xlpm.p&lt;1,_xlpm.p&gt;12),"invalid std",_xlpm.k*10^((_xlpm.e-_xlpm.b)/_xlpm.s)))))</f>
        <v>0.12881199168779592</v>
      </c>
      <c r="R82" s="37">
        <f t="shared" ca="1" si="11"/>
        <v>0.13465545839280962</v>
      </c>
      <c r="S82" s="37">
        <f t="shared" ca="1" si="12"/>
        <v>1.0063436850609055</v>
      </c>
      <c r="T82" s="9">
        <v>0</v>
      </c>
      <c r="U82" s="10"/>
      <c r="AK82" s="184"/>
    </row>
    <row r="83" spans="1:41" x14ac:dyDescent="0.25">
      <c r="A83" s="25">
        <v>78</v>
      </c>
      <c r="B83" s="156" t="s">
        <v>124</v>
      </c>
      <c r="C83" s="165" t="s">
        <v>203</v>
      </c>
      <c r="D83" s="166" t="s">
        <v>204</v>
      </c>
      <c r="E83" s="166">
        <v>28.2971019981685</v>
      </c>
      <c r="F83" s="164">
        <v>81.055679321289006</v>
      </c>
      <c r="G83" s="8">
        <v>0.1</v>
      </c>
      <c r="H83" s="31" t="str" cm="1">
        <f t="array" ref="H83">IF(ISNUMBER(SEARCH("; ",AC12)), TRIM(INDEX(_xlfn.TEXTSPLIT(AC12,"; "),1)), AC12)</f>
        <v>std1[0.128]_progen#62008</v>
      </c>
      <c r="I83" s="31" t="str" cm="1">
        <f t="array" ref="I83">IF(ISNUMBER(SEARCH("; ",AC12)), TRIM(INDEX(_xlfn.TEXTSPLIT(AC12,"; "),2)), "")</f>
        <v/>
      </c>
      <c r="J83" s="9">
        <v>39</v>
      </c>
      <c r="K83" s="34" t="str">
        <v>1</v>
      </c>
      <c r="L83" s="34">
        <v>1</v>
      </c>
      <c r="M83" s="34">
        <v>0</v>
      </c>
      <c r="N83" s="34">
        <v>0</v>
      </c>
      <c r="O83" s="34">
        <v>0</v>
      </c>
      <c r="P83" s="9">
        <v>1</v>
      </c>
      <c r="Q83" s="37" cm="1">
        <f t="array" aca="1" ref="Q83" ca="1">_xlfn.LET(_xlpm.p,P83,_xlpm.e,E83,_xlpm.k,K83,_xlpm.b,INDEX($Y$54:$AJ$54,1,_xlpm.p),_xlpm.s,INDEX($Y$53:$AJ$53,1,_xlpm.p),IF(_xlpm.e="Undetermined","",IF(T83=1,"#N/A",IF(OR(_xlpm.p&lt;1,_xlpm.p&gt;12),"invalid std",_xlpm.k*10^((_xlpm.e-_xlpm.b)/_xlpm.s)))))</f>
        <v>0.1404989250978233</v>
      </c>
      <c r="R83" s="37">
        <f t="shared" ca="1" si="11"/>
        <v>0.13465545839280962</v>
      </c>
      <c r="S83" s="37">
        <f t="shared" ca="1" si="12"/>
        <v>1.0976478523267446</v>
      </c>
      <c r="T83" s="9">
        <v>0</v>
      </c>
      <c r="U83" s="10"/>
      <c r="W83" s="39" t="s">
        <v>153</v>
      </c>
      <c r="AK83" s="184"/>
    </row>
    <row r="84" spans="1:41" x14ac:dyDescent="0.25">
      <c r="A84" s="25">
        <v>79</v>
      </c>
      <c r="B84" s="156" t="s">
        <v>125</v>
      </c>
      <c r="C84" s="165" t="s">
        <v>203</v>
      </c>
      <c r="D84" s="166" t="s">
        <v>204</v>
      </c>
      <c r="E84" s="166">
        <v>25.387083497884898</v>
      </c>
      <c r="F84" s="164">
        <v>80.958518981933594</v>
      </c>
      <c r="G84" s="8">
        <v>0.1</v>
      </c>
      <c r="H84" s="31" t="str" cm="1">
        <f t="array" ref="H84">IF(ISNUMBER(SEARCH("; ",AD12)), TRIM(INDEX(_xlfn.TEXTSPLIT(AD12,"; "),1)), AD12)</f>
        <v>MiND25147ML-1</v>
      </c>
      <c r="I84" s="31" t="str" cm="1">
        <f t="array" ref="I84">IF(ISNUMBER(SEARCH("; ",AD12)), TRIM(INDEX(_xlfn.TEXTSPLIT(AD12,"; "),2)), "")</f>
        <v>NURF581713</v>
      </c>
      <c r="J84" s="9">
        <v>40</v>
      </c>
      <c r="K84" s="34" t="str">
        <v>10</v>
      </c>
      <c r="L84" s="34">
        <v>1</v>
      </c>
      <c r="M84" s="34">
        <v>0</v>
      </c>
      <c r="N84" s="34">
        <v>0</v>
      </c>
      <c r="O84" s="34">
        <v>0</v>
      </c>
      <c r="P84" s="9">
        <v>1</v>
      </c>
      <c r="Q84" s="37" cm="1">
        <f t="array" aca="1" ref="Q84" ca="1">_xlfn.LET(_xlpm.p,P84,_xlpm.e,E84,_xlpm.k,K84,_xlpm.b,INDEX($Y$54:$AJ$54,1,_xlpm.p),_xlpm.s,INDEX($Y$53:$AJ$53,1,_xlpm.p),IF(_xlpm.e="Undetermined","",IF(T84=1,"#N/A",IF(OR(_xlpm.p&lt;1,_xlpm.p&gt;12),"invalid std",_xlpm.k*10^((_xlpm.e-_xlpm.b)/_xlpm.s)))))</f>
        <v>10.799672587806333</v>
      </c>
      <c r="R84" s="37">
        <f t="shared" ca="1" si="11"/>
        <v>10.551924178685619</v>
      </c>
      <c r="S84" s="37" t="str">
        <f t="shared" ca="1" si="12"/>
        <v/>
      </c>
      <c r="T84" s="9">
        <v>0</v>
      </c>
      <c r="U84" s="10"/>
      <c r="W84" s="40" t="s">
        <v>61</v>
      </c>
      <c r="X84" s="41">
        <v>1</v>
      </c>
      <c r="Y84" s="41">
        <v>2</v>
      </c>
      <c r="Z84" s="40">
        <v>3</v>
      </c>
      <c r="AA84" s="42">
        <v>4</v>
      </c>
      <c r="AB84" s="41">
        <v>5</v>
      </c>
      <c r="AC84" s="41">
        <v>6</v>
      </c>
      <c r="AD84" s="40">
        <v>7</v>
      </c>
      <c r="AE84" s="42">
        <v>8</v>
      </c>
      <c r="AF84" s="41">
        <v>9</v>
      </c>
      <c r="AG84" s="41">
        <v>10</v>
      </c>
      <c r="AH84" s="40">
        <v>11</v>
      </c>
      <c r="AI84" s="42">
        <v>12</v>
      </c>
      <c r="AK84" s="184"/>
    </row>
    <row r="85" spans="1:41" x14ac:dyDescent="0.25">
      <c r="A85" s="25">
        <v>80</v>
      </c>
      <c r="B85" s="156" t="s">
        <v>126</v>
      </c>
      <c r="C85" s="162" t="s">
        <v>203</v>
      </c>
      <c r="D85" s="9" t="s">
        <v>204</v>
      </c>
      <c r="E85" s="163">
        <v>25.454097262665499</v>
      </c>
      <c r="F85" s="164">
        <v>80.958518981933594</v>
      </c>
      <c r="G85" s="8">
        <v>0.1</v>
      </c>
      <c r="H85" s="31" t="str" cm="1">
        <f t="array" ref="H85">IF(ISNUMBER(SEARCH("; ",AE12)), TRIM(INDEX(_xlfn.TEXTSPLIT(AE12,"; "),1)), AE12)</f>
        <v>MiND25147ML-1</v>
      </c>
      <c r="I85" s="31" t="str" cm="1">
        <f t="array" ref="I85">IF(ISNUMBER(SEARCH("; ",AE12)), TRIM(INDEX(_xlfn.TEXTSPLIT(AE12,"; "),2)), "")</f>
        <v>NURF581713</v>
      </c>
      <c r="J85" s="9">
        <v>40</v>
      </c>
      <c r="K85" s="34" t="str">
        <v>10</v>
      </c>
      <c r="L85" s="34">
        <v>1</v>
      </c>
      <c r="M85" s="34">
        <v>0</v>
      </c>
      <c r="N85" s="34">
        <v>0</v>
      </c>
      <c r="O85" s="34">
        <v>0</v>
      </c>
      <c r="P85" s="9">
        <v>1</v>
      </c>
      <c r="Q85" s="37" cm="1">
        <f t="array" aca="1" ref="Q85" ca="1">_xlfn.LET(_xlpm.p,P85,_xlpm.e,E85,_xlpm.k,K85,_xlpm.b,INDEX($Y$54:$AJ$54,1,_xlpm.p),_xlpm.s,INDEX($Y$53:$AJ$53,1,_xlpm.p),IF(_xlpm.e="Undetermined","",IF(T85=1,"#N/A",IF(OR(_xlpm.p&lt;1,_xlpm.p&gt;12),"invalid std",_xlpm.k*10^((_xlpm.e-_xlpm.b)/_xlpm.s)))))</f>
        <v>10.304175769564905</v>
      </c>
      <c r="R85" s="37">
        <f t="shared" ca="1" si="11"/>
        <v>10.551924178685619</v>
      </c>
      <c r="S85" s="37" t="str">
        <f t="shared" ca="1" si="12"/>
        <v/>
      </c>
      <c r="T85" s="9">
        <v>0</v>
      </c>
      <c r="U85" s="10"/>
      <c r="W85" s="43" t="s">
        <v>26</v>
      </c>
      <c r="X85" s="67" cm="1">
        <f t="array" aca="1" ref="X85:AI85" ca="1">TRANSPOSE(R6:R17)</f>
        <v>93.01105515082557</v>
      </c>
      <c r="Y85" s="68">
        <f ca="1"/>
        <v>93.01105515082557</v>
      </c>
      <c r="Z85" s="68">
        <f ca="1"/>
        <v>11.288700494802931</v>
      </c>
      <c r="AA85" s="68">
        <f ca="1"/>
        <v>11.288700494802931</v>
      </c>
      <c r="AB85" s="68">
        <f ca="1"/>
        <v>2054.6176368906608</v>
      </c>
      <c r="AC85" s="68">
        <f ca="1"/>
        <v>2054.6176368906608</v>
      </c>
      <c r="AD85" s="68">
        <f ca="1"/>
        <v>20.126978073181061</v>
      </c>
      <c r="AE85" s="68">
        <f ca="1"/>
        <v>20.126978073181061</v>
      </c>
      <c r="AF85" s="68">
        <f ca="1"/>
        <v>6.2258510796349844</v>
      </c>
      <c r="AG85" s="68">
        <f ca="1"/>
        <v>6.2258510796349844</v>
      </c>
      <c r="AH85" s="68">
        <f ca="1"/>
        <v>20.630638655302413</v>
      </c>
      <c r="AI85" s="69">
        <f ca="1"/>
        <v>20.630638655302413</v>
      </c>
      <c r="AK85" s="184"/>
      <c r="AL85" s="13"/>
      <c r="AM85" s="13"/>
      <c r="AN85" s="13"/>
      <c r="AO85" s="13"/>
    </row>
    <row r="86" spans="1:41" x14ac:dyDescent="0.25">
      <c r="A86" s="25">
        <v>81</v>
      </c>
      <c r="B86" s="156" t="s">
        <v>127</v>
      </c>
      <c r="C86" s="162" t="s">
        <v>203</v>
      </c>
      <c r="D86" s="9" t="s">
        <v>204</v>
      </c>
      <c r="E86" s="163">
        <v>24.343085831346901</v>
      </c>
      <c r="F86" s="164">
        <v>81.055091857910099</v>
      </c>
      <c r="G86" s="8">
        <v>0.1</v>
      </c>
      <c r="H86" s="31" t="str" cm="1">
        <f t="array" ref="H86">IF(ISNUMBER(SEARCH("; ",AF12)), TRIM(INDEX(_xlfn.TEXTSPLIT(AF12,"; "),1)), AF12)</f>
        <v>MiND12249PM-1</v>
      </c>
      <c r="I86" s="31" t="str" cm="1">
        <f t="array" ref="I86">IF(ISNUMBER(SEARCH("; ",AF12)), TRIM(INDEX(_xlfn.TEXTSPLIT(AF12,"; "),2)), "")</f>
        <v>NURG120670</v>
      </c>
      <c r="J86" s="9">
        <v>41</v>
      </c>
      <c r="K86" s="34" t="str">
        <v>10</v>
      </c>
      <c r="L86" s="34">
        <v>1</v>
      </c>
      <c r="M86" s="34">
        <v>0</v>
      </c>
      <c r="N86" s="34">
        <v>0</v>
      </c>
      <c r="O86" s="34">
        <v>0</v>
      </c>
      <c r="P86" s="9">
        <v>1</v>
      </c>
      <c r="Q86" s="37" cm="1">
        <f t="array" aca="1" ref="Q86" ca="1">_xlfn.LET(_xlpm.p,P86,_xlpm.e,E86,_xlpm.k,K86,_xlpm.b,INDEX($Y$54:$AJ$54,1,_xlpm.p),_xlpm.s,INDEX($Y$53:$AJ$53,1,_xlpm.p),IF(_xlpm.e="Undetermined","",IF(T86=1,"#N/A",IF(OR(_xlpm.p&lt;1,_xlpm.p&gt;12),"invalid std",_xlpm.k*10^((_xlpm.e-_xlpm.b)/_xlpm.s)))))</f>
        <v>22.447998904243622</v>
      </c>
      <c r="R86" s="37">
        <f t="shared" ca="1" si="11"/>
        <v>23.642004421486583</v>
      </c>
      <c r="S86" s="37" t="str">
        <f t="shared" ca="1" si="12"/>
        <v/>
      </c>
      <c r="T86" s="9">
        <v>0</v>
      </c>
      <c r="U86" s="10"/>
      <c r="W86" s="70" t="s">
        <v>28</v>
      </c>
      <c r="X86" s="71" cm="1">
        <f t="array" aca="1" ref="X86:AI86" ca="1">TRANSPOSE(R18:R29)</f>
        <v>7.4849857531073711</v>
      </c>
      <c r="Y86" s="72">
        <f ca="1"/>
        <v>7.4849857531073711</v>
      </c>
      <c r="Z86" s="72">
        <f ca="1"/>
        <v>10.233838313622755</v>
      </c>
      <c r="AA86" s="72">
        <f ca="1"/>
        <v>10.233838313622755</v>
      </c>
      <c r="AB86" s="72">
        <f ca="1"/>
        <v>403.3893609746749</v>
      </c>
      <c r="AC86" s="72">
        <f ca="1"/>
        <v>403.3893609746749</v>
      </c>
      <c r="AD86" s="72">
        <f ca="1"/>
        <v>13.993263151306174</v>
      </c>
      <c r="AE86" s="72">
        <f ca="1"/>
        <v>13.993263151306174</v>
      </c>
      <c r="AF86" s="72">
        <f ca="1"/>
        <v>12.044955891625261</v>
      </c>
      <c r="AG86" s="72">
        <f ca="1"/>
        <v>12.044955891625261</v>
      </c>
      <c r="AH86" s="72">
        <f ca="1"/>
        <v>111.46353556071895</v>
      </c>
      <c r="AI86" s="73">
        <f ca="1"/>
        <v>111.46353556071895</v>
      </c>
      <c r="AK86" s="184"/>
      <c r="AL86" s="13"/>
    </row>
    <row r="87" spans="1:41" x14ac:dyDescent="0.25">
      <c r="A87" s="25">
        <v>82</v>
      </c>
      <c r="B87" s="156" t="s">
        <v>128</v>
      </c>
      <c r="C87" s="162" t="s">
        <v>203</v>
      </c>
      <c r="D87" s="9" t="s">
        <v>204</v>
      </c>
      <c r="E87" s="163">
        <v>24.198842192878899</v>
      </c>
      <c r="F87" s="164">
        <v>81.055091857910099</v>
      </c>
      <c r="G87" s="8">
        <v>0.1</v>
      </c>
      <c r="H87" s="31" t="str" cm="1">
        <f t="array" ref="H87">IF(ISNUMBER(SEARCH("; ",AG12)), TRIM(INDEX(_xlfn.TEXTSPLIT(AG12,"; "),1)), AG12)</f>
        <v>MiND12249PM-1</v>
      </c>
      <c r="I87" s="31" t="str" cm="1">
        <f t="array" ref="I87">IF(ISNUMBER(SEARCH("; ",AG12)), TRIM(INDEX(_xlfn.TEXTSPLIT(AG12,"; "),2)), "")</f>
        <v>NURG120670</v>
      </c>
      <c r="J87" s="9">
        <v>41</v>
      </c>
      <c r="K87" s="34" t="str">
        <v>10</v>
      </c>
      <c r="L87" s="34">
        <v>1</v>
      </c>
      <c r="M87" s="34">
        <v>0</v>
      </c>
      <c r="N87" s="34">
        <v>0</v>
      </c>
      <c r="O87" s="34">
        <v>0</v>
      </c>
      <c r="P87" s="9">
        <v>1</v>
      </c>
      <c r="Q87" s="37" cm="1">
        <f t="array" aca="1" ref="Q87" ca="1">_xlfn.LET(_xlpm.p,P87,_xlpm.e,E87,_xlpm.k,K87,_xlpm.b,INDEX($Y$54:$AJ$54,1,_xlpm.p),_xlpm.s,INDEX($Y$53:$AJ$53,1,_xlpm.p),IF(_xlpm.e="Undetermined","",IF(T87=1,"#N/A",IF(OR(_xlpm.p&lt;1,_xlpm.p&gt;12),"invalid std",_xlpm.k*10^((_xlpm.e-_xlpm.b)/_xlpm.s)))))</f>
        <v>24.836009938729539</v>
      </c>
      <c r="R87" s="37">
        <f t="shared" ca="1" si="11"/>
        <v>23.642004421486583</v>
      </c>
      <c r="S87" s="37" t="str">
        <f t="shared" ca="1" si="12"/>
        <v/>
      </c>
      <c r="T87" s="9">
        <v>0</v>
      </c>
      <c r="U87" s="10"/>
      <c r="W87" s="43" t="s">
        <v>30</v>
      </c>
      <c r="X87" s="71" cm="1">
        <f t="array" aca="1" ref="X87:AI87" ca="1">TRANSPOSE(R30:R41)</f>
        <v>23.09874368193497</v>
      </c>
      <c r="Y87" s="72">
        <f ca="1"/>
        <v>23.09874368193497</v>
      </c>
      <c r="Z87" s="72">
        <f ca="1"/>
        <v>12.243471933181674</v>
      </c>
      <c r="AA87" s="72">
        <f ca="1"/>
        <v>12.243471933181674</v>
      </c>
      <c r="AB87" s="72">
        <f ca="1"/>
        <v>79.909133687729053</v>
      </c>
      <c r="AC87" s="72">
        <f ca="1"/>
        <v>79.909133687729053</v>
      </c>
      <c r="AD87" s="72">
        <f ca="1"/>
        <v>7.9760165171635862</v>
      </c>
      <c r="AE87" s="72">
        <f ca="1"/>
        <v>7.9760165171635862</v>
      </c>
      <c r="AF87" s="72">
        <f ca="1"/>
        <v>36.998879621847408</v>
      </c>
      <c r="AG87" s="72">
        <f ca="1"/>
        <v>36.998879621847408</v>
      </c>
      <c r="AH87" s="72">
        <f ca="1"/>
        <v>7.3451108433130052</v>
      </c>
      <c r="AI87" s="73">
        <f ca="1"/>
        <v>7.3451108433130052</v>
      </c>
      <c r="AK87" s="184"/>
    </row>
    <row r="88" spans="1:41" x14ac:dyDescent="0.25">
      <c r="A88" s="25">
        <v>83</v>
      </c>
      <c r="B88" s="156" t="s">
        <v>129</v>
      </c>
      <c r="C88" s="165" t="s">
        <v>203</v>
      </c>
      <c r="D88" s="166" t="s">
        <v>204</v>
      </c>
      <c r="E88" s="166">
        <v>24.197867017369099</v>
      </c>
      <c r="F88" s="164">
        <v>80.765129089355398</v>
      </c>
      <c r="G88" s="8">
        <v>0.1</v>
      </c>
      <c r="H88" s="31" t="str" cm="1">
        <f t="array" ref="H88">IF(ISNUMBER(SEARCH("; ",AH12)), TRIM(INDEX(_xlfn.TEXTSPLIT(AH12,"; "),1)), AH12)</f>
        <v>NFL-QC-M</v>
      </c>
      <c r="I88" s="31" t="str" cm="1">
        <f t="array" ref="I88">IF(ISNUMBER(SEARCH("; ",AH12)), TRIM(INDEX(_xlfn.TEXTSPLIT(AH12,"; "),2)), "")</f>
        <v/>
      </c>
      <c r="J88" s="9">
        <v>42</v>
      </c>
      <c r="K88" s="34" t="str">
        <v>10</v>
      </c>
      <c r="L88" s="34">
        <v>1</v>
      </c>
      <c r="M88" s="34">
        <v>0</v>
      </c>
      <c r="N88" s="34">
        <v>0</v>
      </c>
      <c r="O88" s="34">
        <v>0</v>
      </c>
      <c r="P88" s="9">
        <v>1</v>
      </c>
      <c r="Q88" s="37" cm="1">
        <f t="array" aca="1" ref="Q88" ca="1">_xlfn.LET(_xlpm.p,P88,_xlpm.e,E88,_xlpm.k,K88,_xlpm.b,INDEX($Y$54:$AJ$54,1,_xlpm.p),_xlpm.s,INDEX($Y$53:$AJ$53,1,_xlpm.p),IF(_xlpm.e="Undetermined","",IF(T88=1,"#N/A",IF(OR(_xlpm.p&lt;1,_xlpm.p&gt;12),"invalid std",_xlpm.k*10^((_xlpm.e-_xlpm.b)/_xlpm.s)))))</f>
        <v>24.852989952683451</v>
      </c>
      <c r="R88" s="37">
        <f t="shared" ca="1" si="11"/>
        <v>23.154505413878489</v>
      </c>
      <c r="S88" s="37" t="str">
        <f t="shared" ca="1" si="12"/>
        <v/>
      </c>
      <c r="T88" s="9">
        <v>0</v>
      </c>
      <c r="U88" s="10"/>
      <c r="W88" s="70" t="s">
        <v>32</v>
      </c>
      <c r="X88" s="71" cm="1">
        <f t="array" aca="1" ref="X88:AI88" ca="1">TRANSPOSE(R42:R53)</f>
        <v>7.3318744494106483</v>
      </c>
      <c r="Y88" s="72">
        <f ca="1"/>
        <v>7.3318744494106483</v>
      </c>
      <c r="Z88" s="72">
        <f ca="1"/>
        <v>7.1779128185701921</v>
      </c>
      <c r="AA88" s="72">
        <f ca="1"/>
        <v>7.1779128185701921</v>
      </c>
      <c r="AB88" s="72">
        <f ca="1"/>
        <v>15.40915350687693</v>
      </c>
      <c r="AC88" s="72">
        <f ca="1"/>
        <v>15.40915350687693</v>
      </c>
      <c r="AD88" s="72">
        <f ca="1"/>
        <v>12.348187332710912</v>
      </c>
      <c r="AE88" s="72">
        <f ca="1"/>
        <v>12.348187332710912</v>
      </c>
      <c r="AF88" s="72">
        <f ca="1"/>
        <v>31.80170733306521</v>
      </c>
      <c r="AG88" s="72">
        <f ca="1"/>
        <v>31.80170733306521</v>
      </c>
      <c r="AH88" s="72">
        <f ca="1"/>
        <v>116.38724352624324</v>
      </c>
      <c r="AI88" s="73">
        <f ca="1"/>
        <v>116.38724352624324</v>
      </c>
      <c r="AK88" s="184"/>
    </row>
    <row r="89" spans="1:41" x14ac:dyDescent="0.25">
      <c r="A89" s="26">
        <v>84</v>
      </c>
      <c r="B89" s="156" t="s">
        <v>130</v>
      </c>
      <c r="C89" s="165" t="s">
        <v>203</v>
      </c>
      <c r="D89" s="166" t="s">
        <v>204</v>
      </c>
      <c r="E89" s="166">
        <v>24.407573498808599</v>
      </c>
      <c r="F89" s="164">
        <v>80.765129089355398</v>
      </c>
      <c r="G89" s="8">
        <v>0.1</v>
      </c>
      <c r="H89" s="31" t="str" cm="1">
        <f t="array" ref="H89">IF(ISNUMBER(SEARCH("; ",AI12)), TRIM(INDEX(_xlfn.TEXTSPLIT(AI12,"; "),1)), AI12)</f>
        <v>NFL-QC-M</v>
      </c>
      <c r="I89" s="31" t="str" cm="1">
        <f t="array" ref="I89">IF(ISNUMBER(SEARCH("; ",AI12)), TRIM(INDEX(_xlfn.TEXTSPLIT(AI12,"; "),2)), "")</f>
        <v/>
      </c>
      <c r="J89" s="9">
        <v>42</v>
      </c>
      <c r="K89" s="34" t="str">
        <v>10</v>
      </c>
      <c r="L89" s="34">
        <v>1</v>
      </c>
      <c r="M89" s="34">
        <v>0</v>
      </c>
      <c r="N89" s="34">
        <v>0</v>
      </c>
      <c r="O89" s="34">
        <v>0</v>
      </c>
      <c r="P89" s="9">
        <v>1</v>
      </c>
      <c r="Q89" s="37" cm="1">
        <f t="array" aca="1" ref="Q89" ca="1">_xlfn.LET(_xlpm.p,P89,_xlpm.e,E89,_xlpm.k,K89,_xlpm.b,INDEX($Y$54:$AJ$54,1,_xlpm.p),_xlpm.s,INDEX($Y$53:$AJ$53,1,_xlpm.p),IF(_xlpm.e="Undetermined","",IF(T89=1,"#N/A",IF(OR(_xlpm.p&lt;1,_xlpm.p&gt;12),"invalid std",_xlpm.k*10^((_xlpm.e-_xlpm.b)/_xlpm.s)))))</f>
        <v>21.456020875073524</v>
      </c>
      <c r="R89" s="37">
        <f t="shared" ca="1" si="11"/>
        <v>23.154505413878489</v>
      </c>
      <c r="S89" s="37" t="str">
        <f t="shared" ca="1" si="12"/>
        <v/>
      </c>
      <c r="T89" s="9">
        <v>0</v>
      </c>
      <c r="U89" s="10"/>
      <c r="W89" s="43" t="s">
        <v>34</v>
      </c>
      <c r="X89" s="71" cm="1">
        <f t="array" aca="1" ref="X89:AI89" ca="1">TRANSPOSE(R54:R65)</f>
        <v>13.922718366828972</v>
      </c>
      <c r="Y89" s="72">
        <f ca="1"/>
        <v>13.922718366828972</v>
      </c>
      <c r="Z89" s="72">
        <f ca="1"/>
        <v>12.97757963137615</v>
      </c>
      <c r="AA89" s="72">
        <f ca="1"/>
        <v>12.97757963137615</v>
      </c>
      <c r="AB89" s="72">
        <f ca="1"/>
        <v>3.0895289158242445</v>
      </c>
      <c r="AC89" s="72">
        <f ca="1"/>
        <v>3.0895289158242445</v>
      </c>
      <c r="AD89" s="72">
        <f ca="1"/>
        <v>5.8450291305527138</v>
      </c>
      <c r="AE89" s="72">
        <f ca="1"/>
        <v>5.8450291305527138</v>
      </c>
      <c r="AF89" s="72">
        <f ca="1"/>
        <v>6.8457272181593076</v>
      </c>
      <c r="AG89" s="72">
        <f ca="1"/>
        <v>6.8457272181593076</v>
      </c>
      <c r="AH89" s="72">
        <f ca="1"/>
        <v>110.10363630544205</v>
      </c>
      <c r="AI89" s="73">
        <f ca="1"/>
        <v>110.10363630544205</v>
      </c>
      <c r="AK89" s="184"/>
    </row>
    <row r="90" spans="1:41" x14ac:dyDescent="0.25">
      <c r="A90" s="25">
        <v>85</v>
      </c>
      <c r="B90" s="155" t="s">
        <v>131</v>
      </c>
      <c r="C90" s="159" t="s">
        <v>203</v>
      </c>
      <c r="D90" s="6" t="s">
        <v>204</v>
      </c>
      <c r="E90" s="160">
        <v>24.493955523843798</v>
      </c>
      <c r="F90" s="161">
        <v>80.940422058105398</v>
      </c>
      <c r="G90" s="170">
        <v>0.1</v>
      </c>
      <c r="H90" s="30" t="str" cm="1">
        <f t="array" ref="H90">IF(ISNUMBER(SEARCH("; ",X13)), TRIM(INDEX(_xlfn.TEXTSPLIT(X13,"; "),1)), X13)</f>
        <v>MiND33147TM-1</v>
      </c>
      <c r="I90" s="30" t="str" cm="1">
        <f t="array" ref="I90">IF(ISNUMBER(SEARCH("; ",X13)), TRIM(INDEX(_xlfn.TEXTSPLIT(X13,"; "),2)), "")</f>
        <v>NURG336767</v>
      </c>
      <c r="J90" s="6">
        <v>43</v>
      </c>
      <c r="K90" s="33" t="str" cm="1">
        <f t="array" ref="K90:K101">TRANSPOSE(RIGHT(LEFT(X24:AI24,FIND(";",X24:AI24)-1),LEN(LEFT(X24:AI24,FIND(";",X24:AI24)-1))-1))</f>
        <v>10</v>
      </c>
      <c r="L90" s="33" cm="1">
        <f t="array" ref="L90:L101">TRANSPOSE(IF(ISNUMBER(SEARCH("v1",X24:AI24)),1,0))</f>
        <v>1</v>
      </c>
      <c r="M90" s="33" cm="1">
        <f t="array" ref="M90:M101">TRANSPOSE(IF(ISNUMBER(SEARCH("v2",X24:AI24)),1,0))</f>
        <v>0</v>
      </c>
      <c r="N90" s="33" cm="1">
        <f t="array" ref="N90:N101">TRANSPOSE(IF(ISNUMBER(SEARCH("v3",X24:AI24)),1,0))</f>
        <v>0</v>
      </c>
      <c r="O90" s="33" cm="1">
        <f t="array" ref="O90:O101">TRANSPOSE(IF(ISNUMBER(SEARCH("v4",X24:AI24)),1,0))</f>
        <v>0</v>
      </c>
      <c r="P90" s="6">
        <v>1</v>
      </c>
      <c r="Q90" s="36" cm="1">
        <f t="array" aca="1" ref="Q90" ca="1">_xlfn.LET(_xlpm.p,P90,_xlpm.e,E90,_xlpm.k,K90,_xlpm.b,INDEX($Y$54:$AJ$54,1,_xlpm.p),_xlpm.s,INDEX($Y$53:$AJ$53,1,_xlpm.p),IF(_xlpm.e="Undetermined","",IF(T90=1,"#N/A",IF(OR(_xlpm.p&lt;1,_xlpm.p&gt;12),"invalid std",_xlpm.k*10^((_xlpm.e-_xlpm.b)/_xlpm.s)))))</f>
        <v>20.19559408746867</v>
      </c>
      <c r="R90" s="36">
        <f t="shared" ca="1" si="11"/>
        <v>21.008100809861631</v>
      </c>
      <c r="S90" s="36" t="str">
        <f t="shared" ca="1" si="12"/>
        <v/>
      </c>
      <c r="T90" s="6">
        <v>0</v>
      </c>
      <c r="U90" s="7"/>
      <c r="W90" s="70" t="s">
        <v>36</v>
      </c>
      <c r="X90" s="71" cm="1">
        <f t="array" aca="1" ref="X90:AI90" ca="1">TRANSPOSE(R66:R77)</f>
        <v>10.434723209562215</v>
      </c>
      <c r="Y90" s="72">
        <f ca="1"/>
        <v>10.434723209562215</v>
      </c>
      <c r="Z90" s="72">
        <f ca="1"/>
        <v>71.66734238463556</v>
      </c>
      <c r="AA90" s="72">
        <f ca="1"/>
        <v>71.66734238463556</v>
      </c>
      <c r="AB90" s="72">
        <f ca="1"/>
        <v>0.63432961048502634</v>
      </c>
      <c r="AC90" s="72">
        <f ca="1"/>
        <v>0.63432961048502634</v>
      </c>
      <c r="AD90" s="72">
        <f ca="1"/>
        <v>7.3946263318947727</v>
      </c>
      <c r="AE90" s="72">
        <f ca="1"/>
        <v>7.3946263318947727</v>
      </c>
      <c r="AF90" s="72">
        <f ca="1"/>
        <v>16.389020541559496</v>
      </c>
      <c r="AG90" s="72">
        <f ca="1"/>
        <v>16.389020541559496</v>
      </c>
      <c r="AH90" s="72">
        <f ca="1"/>
        <v>8.0335643361342068</v>
      </c>
      <c r="AI90" s="73">
        <f ca="1"/>
        <v>8.0335643361342068</v>
      </c>
      <c r="AK90" s="184"/>
    </row>
    <row r="91" spans="1:41" x14ac:dyDescent="0.25">
      <c r="A91" s="25">
        <v>86</v>
      </c>
      <c r="B91" s="156" t="s">
        <v>132</v>
      </c>
      <c r="C91" s="162" t="s">
        <v>203</v>
      </c>
      <c r="D91" s="9" t="s">
        <v>204</v>
      </c>
      <c r="E91" s="163">
        <v>24.383531940781001</v>
      </c>
      <c r="F91" s="164">
        <v>80.803367614746094</v>
      </c>
      <c r="G91" s="171">
        <v>0.1</v>
      </c>
      <c r="H91" s="31" t="str" cm="1">
        <f t="array" ref="H91">IF(ISNUMBER(SEARCH("; ",Y13)), TRIM(INDEX(_xlfn.TEXTSPLIT(Y13,"; "),1)), Y13)</f>
        <v>MiND33147TM-1</v>
      </c>
      <c r="I91" s="31" t="str" cm="1">
        <f t="array" ref="I91">IF(ISNUMBER(SEARCH("; ",Y13)), TRIM(INDEX(_xlfn.TEXTSPLIT(Y13,"; "),2)), "")</f>
        <v>NURG336767</v>
      </c>
      <c r="J91" s="9">
        <v>43</v>
      </c>
      <c r="K91" s="34" t="str">
        <v>10</v>
      </c>
      <c r="L91" s="34">
        <v>1</v>
      </c>
      <c r="M91" s="34">
        <v>0</v>
      </c>
      <c r="N91" s="34">
        <v>0</v>
      </c>
      <c r="O91" s="34">
        <v>0</v>
      </c>
      <c r="P91" s="9">
        <v>1</v>
      </c>
      <c r="Q91" s="37" cm="1">
        <f t="array" aca="1" ref="Q91" ca="1">_xlfn.LET(_xlpm.p,P91,_xlpm.e,E91,_xlpm.k,K91,_xlpm.b,INDEX($Y$54:$AJ$54,1,_xlpm.p),_xlpm.s,INDEX($Y$53:$AJ$53,1,_xlpm.p),IF(_xlpm.e="Undetermined","",IF(T91=1,"#N/A",IF(OR(_xlpm.p&lt;1,_xlpm.p&gt;12),"invalid std",_xlpm.k*10^((_xlpm.e-_xlpm.b)/_xlpm.s)))))</f>
        <v>21.820607532254591</v>
      </c>
      <c r="R91" s="37">
        <f t="shared" ca="1" si="11"/>
        <v>21.008100809861631</v>
      </c>
      <c r="S91" s="37" t="str">
        <f t="shared" ca="1" si="12"/>
        <v/>
      </c>
      <c r="T91" s="9">
        <v>0</v>
      </c>
      <c r="U91" s="10"/>
      <c r="W91" s="43" t="s">
        <v>38</v>
      </c>
      <c r="X91" s="71" cm="1">
        <f t="array" aca="1" ref="X91:AI91" ca="1">TRANSPOSE(R78:R89)</f>
        <v>7.9985379474412888</v>
      </c>
      <c r="Y91" s="72">
        <f ca="1"/>
        <v>7.9985379474412888</v>
      </c>
      <c r="Z91" s="72">
        <f ca="1"/>
        <v>16.72100346762344</v>
      </c>
      <c r="AA91" s="72">
        <f ca="1"/>
        <v>16.72100346762344</v>
      </c>
      <c r="AB91" s="72">
        <f ca="1"/>
        <v>0.13465545839280962</v>
      </c>
      <c r="AC91" s="72">
        <f ca="1"/>
        <v>0.13465545839280962</v>
      </c>
      <c r="AD91" s="72">
        <f ca="1"/>
        <v>10.551924178685619</v>
      </c>
      <c r="AE91" s="72">
        <f ca="1"/>
        <v>10.551924178685619</v>
      </c>
      <c r="AF91" s="72">
        <f ca="1"/>
        <v>23.642004421486583</v>
      </c>
      <c r="AG91" s="72">
        <f ca="1"/>
        <v>23.642004421486583</v>
      </c>
      <c r="AH91" s="72">
        <f ca="1"/>
        <v>23.154505413878489</v>
      </c>
      <c r="AI91" s="73">
        <f ca="1"/>
        <v>23.154505413878489</v>
      </c>
      <c r="AK91" s="184"/>
    </row>
    <row r="92" spans="1:41" x14ac:dyDescent="0.25">
      <c r="A92" s="25">
        <v>87</v>
      </c>
      <c r="B92" s="156" t="s">
        <v>133</v>
      </c>
      <c r="C92" s="162" t="s">
        <v>203</v>
      </c>
      <c r="D92" s="9" t="s">
        <v>204</v>
      </c>
      <c r="E92" s="163">
        <v>25.926969652544901</v>
      </c>
      <c r="F92" s="164">
        <v>80.959739685058594</v>
      </c>
      <c r="G92" s="171">
        <v>0.1</v>
      </c>
      <c r="H92" s="31" t="str" cm="1">
        <f t="array" ref="H92">IF(ISNUMBER(SEARCH("; ",Z13)), TRIM(INDEX(_xlfn.TEXTSPLIT(Z13,"; "),1)), Z13)</f>
        <v>MiND33253IH-1</v>
      </c>
      <c r="I92" s="31" t="str" cm="1">
        <f t="array" ref="I92">IF(ISNUMBER(SEARCH("; ",Z13)), TRIM(INDEX(_xlfn.TEXTSPLIT(Z13,"; "),2)), "")</f>
        <v>NURF650846</v>
      </c>
      <c r="J92" s="9">
        <v>44</v>
      </c>
      <c r="K92" s="34" t="str">
        <v>10</v>
      </c>
      <c r="L92" s="34">
        <v>1</v>
      </c>
      <c r="M92" s="34">
        <v>0</v>
      </c>
      <c r="N92" s="34">
        <v>0</v>
      </c>
      <c r="O92" s="34">
        <v>0</v>
      </c>
      <c r="P92" s="9">
        <v>1</v>
      </c>
      <c r="Q92" s="37" cm="1">
        <f t="array" aca="1" ref="Q92" ca="1">_xlfn.LET(_xlpm.p,P92,_xlpm.e,E92,_xlpm.k,K92,_xlpm.b,INDEX($Y$54:$AJ$54,1,_xlpm.p),_xlpm.s,INDEX($Y$53:$AJ$53,1,_xlpm.p),IF(_xlpm.e="Undetermined","",IF(T92=1,"#N/A",IF(OR(_xlpm.p&lt;1,_xlpm.p&gt;12),"invalid std",_xlpm.k*10^((_xlpm.e-_xlpm.b)/_xlpm.s)))))</f>
        <v>7.3974597331060741</v>
      </c>
      <c r="R92" s="37">
        <f ca="1">IFERROR(AVERAGEIF(J:J,J92,Q:Q),"")</f>
        <v>7.2602087792631256</v>
      </c>
      <c r="S92" s="37" t="str">
        <f t="shared" ca="1" si="12"/>
        <v/>
      </c>
      <c r="T92" s="9">
        <v>0</v>
      </c>
      <c r="U92" s="10"/>
      <c r="W92" s="70" t="s">
        <v>40</v>
      </c>
      <c r="X92" s="74" cm="1">
        <f t="array" aca="1" ref="X92:AI92" ca="1">TRANSPOSE(R90:R101)</f>
        <v>21.008100809861631</v>
      </c>
      <c r="Y92" s="75">
        <f ca="1"/>
        <v>21.008100809861631</v>
      </c>
      <c r="Z92" s="75">
        <f ca="1"/>
        <v>7.2602087792631256</v>
      </c>
      <c r="AA92" s="75">
        <f ca="1"/>
        <v>7.2602087792631256</v>
      </c>
      <c r="AB92" s="75">
        <f ca="1"/>
        <v>1.9444540029834725E-2</v>
      </c>
      <c r="AC92" s="75">
        <f ca="1"/>
        <v>1.9444540029834725E-2</v>
      </c>
      <c r="AD92" s="75">
        <f ca="1"/>
        <v>6.9186764417462108</v>
      </c>
      <c r="AE92" s="75">
        <f ca="1"/>
        <v>6.9186764417462108</v>
      </c>
      <c r="AF92" s="75">
        <f ca="1"/>
        <v>12.18178053565785</v>
      </c>
      <c r="AG92" s="75">
        <f ca="1"/>
        <v>12.18178053565785</v>
      </c>
      <c r="AH92" s="75">
        <f ca="1"/>
        <v>94.157011383210175</v>
      </c>
      <c r="AI92" s="76">
        <f ca="1"/>
        <v>94.157011383210175</v>
      </c>
      <c r="AK92" s="184"/>
    </row>
    <row r="93" spans="1:41" x14ac:dyDescent="0.25">
      <c r="A93" s="25">
        <v>88</v>
      </c>
      <c r="B93" s="156" t="s">
        <v>134</v>
      </c>
      <c r="C93" s="162" t="s">
        <v>203</v>
      </c>
      <c r="D93" s="9" t="s">
        <v>204</v>
      </c>
      <c r="E93" s="163">
        <v>25.980923570585301</v>
      </c>
      <c r="F93" s="164">
        <v>80.959739685058594</v>
      </c>
      <c r="G93" s="171">
        <v>0.1</v>
      </c>
      <c r="H93" s="31" t="str" cm="1">
        <f t="array" ref="H93">IF(ISNUMBER(SEARCH("; ",AA13)), TRIM(INDEX(_xlfn.TEXTSPLIT(AA13,"; "),1)), AA13)</f>
        <v>MiND33253IH-1</v>
      </c>
      <c r="I93" s="31" t="str" cm="1">
        <f t="array" ref="I93">IF(ISNUMBER(SEARCH("; ",AA13)), TRIM(INDEX(_xlfn.TEXTSPLIT(AA13,"; "),2)), "")</f>
        <v>NURF650846</v>
      </c>
      <c r="J93" s="9">
        <v>44</v>
      </c>
      <c r="K93" s="34" t="str">
        <v>10</v>
      </c>
      <c r="L93" s="34">
        <v>1</v>
      </c>
      <c r="M93" s="34">
        <v>0</v>
      </c>
      <c r="N93" s="34">
        <v>0</v>
      </c>
      <c r="O93" s="34">
        <v>0</v>
      </c>
      <c r="P93" s="9">
        <v>1</v>
      </c>
      <c r="Q93" s="37" cm="1">
        <f t="array" aca="1" ref="Q93" ca="1">_xlfn.LET(_xlpm.p,P93,_xlpm.e,E93,_xlpm.k,K93,_xlpm.b,INDEX($Y$54:$AJ$54,1,_xlpm.p),_xlpm.s,INDEX($Y$53:$AJ$53,1,_xlpm.p),IF(_xlpm.e="Undetermined","",IF(T93=1,"#N/A",IF(OR(_xlpm.p&lt;1,_xlpm.p&gt;12),"invalid std",_xlpm.k*10^((_xlpm.e-_xlpm.b)/_xlpm.s)))))</f>
        <v>7.122957825420178</v>
      </c>
      <c r="R93" s="37">
        <f t="shared" ref="R93:R101" ca="1" si="13">IFERROR(AVERAGEIF(J:J,J93,Q:Q),"")</f>
        <v>7.2602087792631256</v>
      </c>
      <c r="S93" s="37" t="str">
        <f t="shared" ca="1" si="12"/>
        <v/>
      </c>
      <c r="T93" s="9">
        <v>0</v>
      </c>
      <c r="U93" s="10"/>
      <c r="AK93" s="184"/>
    </row>
    <row r="94" spans="1:41" x14ac:dyDescent="0.25">
      <c r="A94" s="25">
        <v>89</v>
      </c>
      <c r="B94" s="156" t="s">
        <v>135</v>
      </c>
      <c r="C94" s="162" t="s">
        <v>203</v>
      </c>
      <c r="D94" s="9" t="s">
        <v>204</v>
      </c>
      <c r="E94" s="163">
        <v>30.925986494328001</v>
      </c>
      <c r="F94" s="164">
        <v>81.055679321289006</v>
      </c>
      <c r="G94" s="171">
        <v>0.1</v>
      </c>
      <c r="H94" s="31" t="str" cm="1">
        <f t="array" ref="H94">IF(ISNUMBER(SEARCH("; ",AB13)), TRIM(INDEX(_xlfn.TEXTSPLIT(AB13,"; "),1)), AB13)</f>
        <v>std1[0]_progen#62008</v>
      </c>
      <c r="I94" s="31" t="str" cm="1">
        <f t="array" ref="I94">IF(ISNUMBER(SEARCH("; ",AB13)), TRIM(INDEX(_xlfn.TEXTSPLIT(AB13,"; "),2)), "")</f>
        <v/>
      </c>
      <c r="J94" s="9">
        <v>45</v>
      </c>
      <c r="K94" s="34" t="str">
        <v>1</v>
      </c>
      <c r="L94" s="34">
        <v>1</v>
      </c>
      <c r="M94" s="34">
        <v>0</v>
      </c>
      <c r="N94" s="34">
        <v>0</v>
      </c>
      <c r="O94" s="34">
        <v>0</v>
      </c>
      <c r="P94" s="9">
        <v>1</v>
      </c>
      <c r="Q94" s="37" cm="1">
        <f t="array" aca="1" ref="Q94" ca="1">_xlfn.LET(_xlpm.p,P94,_xlpm.e,E94,_xlpm.k,K94,_xlpm.b,INDEX($Y$54:$AJ$54,1,_xlpm.p),_xlpm.s,INDEX($Y$53:$AJ$53,1,_xlpm.p),IF(_xlpm.e="Undetermined","",IF(T94=1,"#N/A",IF(OR(_xlpm.p&lt;1,_xlpm.p&gt;12),"invalid std",_xlpm.k*10^((_xlpm.e-_xlpm.b)/_xlpm.s)))))</f>
        <v>2.2258999760398728E-2</v>
      </c>
      <c r="R94" s="37">
        <f t="shared" ca="1" si="13"/>
        <v>1.9444540029834725E-2</v>
      </c>
      <c r="S94" s="37" t="str">
        <f t="shared" ca="1" si="12"/>
        <v/>
      </c>
      <c r="T94" s="9">
        <v>0</v>
      </c>
      <c r="U94" s="10"/>
      <c r="AK94" s="184"/>
    </row>
    <row r="95" spans="1:41" x14ac:dyDescent="0.25">
      <c r="A95" s="25">
        <v>90</v>
      </c>
      <c r="B95" s="156" t="s">
        <v>136</v>
      </c>
      <c r="C95" s="165" t="s">
        <v>203</v>
      </c>
      <c r="D95" s="166" t="s">
        <v>204</v>
      </c>
      <c r="E95" s="166">
        <v>31.341957574606301</v>
      </c>
      <c r="F95" s="164">
        <v>80.918701171875</v>
      </c>
      <c r="G95" s="171">
        <v>0.1</v>
      </c>
      <c r="H95" s="31" t="str" cm="1">
        <f t="array" ref="H95">IF(ISNUMBER(SEARCH("; ",AC13)), TRIM(INDEX(_xlfn.TEXTSPLIT(AC13,"; "),1)), AC13)</f>
        <v>std1[0]_progen#62008</v>
      </c>
      <c r="I95" s="31" t="str" cm="1">
        <f t="array" ref="I95">IF(ISNUMBER(SEARCH("; ",AC13)), TRIM(INDEX(_xlfn.TEXTSPLIT(AC13,"; "),2)), "")</f>
        <v/>
      </c>
      <c r="J95" s="9">
        <v>45</v>
      </c>
      <c r="K95" s="34" t="str">
        <v>1</v>
      </c>
      <c r="L95" s="34">
        <v>1</v>
      </c>
      <c r="M95" s="34">
        <v>0</v>
      </c>
      <c r="N95" s="34">
        <v>0</v>
      </c>
      <c r="O95" s="34">
        <v>0</v>
      </c>
      <c r="P95" s="9">
        <v>1</v>
      </c>
      <c r="Q95" s="37" cm="1">
        <f t="array" aca="1" ref="Q95" ca="1">_xlfn.LET(_xlpm.p,P95,_xlpm.e,E95,_xlpm.k,K95,_xlpm.b,INDEX($Y$54:$AJ$54,1,_xlpm.p),_xlpm.s,INDEX($Y$53:$AJ$53,1,_xlpm.p),IF(_xlpm.e="Undetermined","",IF(T95=1,"#N/A",IF(OR(_xlpm.p&lt;1,_xlpm.p&gt;12),"invalid std",_xlpm.k*10^((_xlpm.e-_xlpm.b)/_xlpm.s)))))</f>
        <v>1.6630080299270721E-2</v>
      </c>
      <c r="R95" s="37">
        <f t="shared" ca="1" si="13"/>
        <v>1.9444540029834725E-2</v>
      </c>
      <c r="S95" s="37" t="str">
        <f t="shared" ca="1" si="12"/>
        <v/>
      </c>
      <c r="T95" s="9">
        <v>0</v>
      </c>
      <c r="U95" s="10"/>
      <c r="AK95" s="184"/>
    </row>
    <row r="96" spans="1:41" x14ac:dyDescent="0.25">
      <c r="A96" s="25">
        <v>91</v>
      </c>
      <c r="B96" s="156" t="s">
        <v>137</v>
      </c>
      <c r="C96" s="165" t="s">
        <v>203</v>
      </c>
      <c r="D96" s="166" t="s">
        <v>204</v>
      </c>
      <c r="E96" s="166">
        <v>26.064170528945802</v>
      </c>
      <c r="F96" s="164">
        <v>80.958518981933594</v>
      </c>
      <c r="G96" s="171">
        <v>0.1</v>
      </c>
      <c r="H96" s="31" t="str" cm="1">
        <f t="array" ref="H96">IF(ISNUMBER(SEARCH("; ",AD13)), TRIM(INDEX(_xlfn.TEXTSPLIT(AD13,"; "),1)), AD13)</f>
        <v>MiND33283KO-1</v>
      </c>
      <c r="I96" s="31" t="str" cm="1">
        <f t="array" ref="I96">IF(ISNUMBER(SEARCH("; ",AD13)), TRIM(INDEX(_xlfn.TEXTSPLIT(AD13,"; "),2)), "")</f>
        <v>NURF586055</v>
      </c>
      <c r="J96" s="9">
        <v>46</v>
      </c>
      <c r="K96" s="34" t="str">
        <v>10</v>
      </c>
      <c r="L96" s="34">
        <v>1</v>
      </c>
      <c r="M96" s="34">
        <v>0</v>
      </c>
      <c r="N96" s="34">
        <v>0</v>
      </c>
      <c r="O96" s="34">
        <v>0</v>
      </c>
      <c r="P96" s="9">
        <v>1</v>
      </c>
      <c r="Q96" s="37" cm="1">
        <f t="array" aca="1" ref="Q96" ca="1">_xlfn.LET(_xlpm.p,P96,_xlpm.e,E96,_xlpm.k,K96,_xlpm.b,INDEX($Y$54:$AJ$54,1,_xlpm.p),_xlpm.s,INDEX($Y$53:$AJ$53,1,_xlpm.p),IF(_xlpm.e="Undetermined","",IF(T96=1,"#N/A",IF(OR(_xlpm.p&lt;1,_xlpm.p&gt;12),"invalid std",_xlpm.k*10^((_xlpm.e-_xlpm.b)/_xlpm.s)))))</f>
        <v>6.7192694908285837</v>
      </c>
      <c r="R96" s="37">
        <f t="shared" ca="1" si="13"/>
        <v>6.9186764417462108</v>
      </c>
      <c r="S96" s="37" t="str">
        <f t="shared" ca="1" si="12"/>
        <v/>
      </c>
      <c r="T96" s="9">
        <v>0</v>
      </c>
      <c r="U96" s="10"/>
      <c r="W96" s="116"/>
      <c r="AK96" s="184"/>
    </row>
    <row r="97" spans="1:37" x14ac:dyDescent="0.25">
      <c r="A97" s="25">
        <v>92</v>
      </c>
      <c r="B97" s="156" t="s">
        <v>138</v>
      </c>
      <c r="C97" s="162" t="s">
        <v>203</v>
      </c>
      <c r="D97" s="9" t="s">
        <v>204</v>
      </c>
      <c r="E97" s="163">
        <v>25.981900329399799</v>
      </c>
      <c r="F97" s="164">
        <v>80.958518981933594</v>
      </c>
      <c r="G97" s="171">
        <v>0.1</v>
      </c>
      <c r="H97" s="31" t="str" cm="1">
        <f t="array" ref="H97">IF(ISNUMBER(SEARCH("; ",AE13)), TRIM(INDEX(_xlfn.TEXTSPLIT(AE13,"; "),1)), AE13)</f>
        <v>MiND33283KO-1</v>
      </c>
      <c r="I97" s="31" t="str" cm="1">
        <f t="array" ref="I97">IF(ISNUMBER(SEARCH("; ",AE13)), TRIM(INDEX(_xlfn.TEXTSPLIT(AE13,"; "),2)), "")</f>
        <v>NURF586055</v>
      </c>
      <c r="J97" s="9">
        <v>46</v>
      </c>
      <c r="K97" s="34" t="str">
        <v>10</v>
      </c>
      <c r="L97" s="34">
        <v>1</v>
      </c>
      <c r="M97" s="34">
        <v>0</v>
      </c>
      <c r="N97" s="34">
        <v>0</v>
      </c>
      <c r="O97" s="34">
        <v>0</v>
      </c>
      <c r="P97" s="9">
        <v>1</v>
      </c>
      <c r="Q97" s="37" cm="1">
        <f t="array" aca="1" ref="Q97" ca="1">_xlfn.LET(_xlpm.p,P97,_xlpm.e,E97,_xlpm.k,K97,_xlpm.b,INDEX($Y$54:$AJ$54,1,_xlpm.p),_xlpm.s,INDEX($Y$53:$AJ$53,1,_xlpm.p),IF(_xlpm.e="Undetermined","",IF(T97=1,"#N/A",IF(OR(_xlpm.p&lt;1,_xlpm.p&gt;12),"invalid std",_xlpm.k*10^((_xlpm.e-_xlpm.b)/_xlpm.s)))))</f>
        <v>7.1180833926638387</v>
      </c>
      <c r="R97" s="37">
        <f t="shared" ca="1" si="13"/>
        <v>6.9186764417462108</v>
      </c>
      <c r="S97" s="37" t="str">
        <f t="shared" ca="1" si="12"/>
        <v/>
      </c>
      <c r="T97" s="9">
        <v>0</v>
      </c>
      <c r="U97" s="10"/>
      <c r="W97" s="116"/>
      <c r="AK97" s="184"/>
    </row>
    <row r="98" spans="1:37" x14ac:dyDescent="0.25">
      <c r="A98" s="25">
        <v>93</v>
      </c>
      <c r="B98" s="156" t="s">
        <v>139</v>
      </c>
      <c r="C98" s="162" t="s">
        <v>203</v>
      </c>
      <c r="D98" s="9" t="s">
        <v>204</v>
      </c>
      <c r="E98" s="163">
        <v>25.260568710646101</v>
      </c>
      <c r="F98" s="164">
        <v>81.055091857910099</v>
      </c>
      <c r="G98" s="171">
        <v>0.1</v>
      </c>
      <c r="H98" s="31" t="str" cm="1">
        <f t="array" ref="H98">IF(ISNUMBER(SEARCH("; ",AF13)), TRIM(INDEX(_xlfn.TEXTSPLIT(AF13,"; "),1)), AF13)</f>
        <v>MiND12240MW-1</v>
      </c>
      <c r="I98" s="31" t="str" cm="1">
        <f t="array" ref="I98">IF(ISNUMBER(SEARCH("; ",AF13)), TRIM(INDEX(_xlfn.TEXTSPLIT(AF13,"; "),2)), "")</f>
        <v>NURG121147</v>
      </c>
      <c r="J98" s="9">
        <v>47</v>
      </c>
      <c r="K98" s="34" t="str">
        <v>10</v>
      </c>
      <c r="L98" s="34">
        <v>1</v>
      </c>
      <c r="M98" s="34">
        <v>0</v>
      </c>
      <c r="N98" s="34">
        <v>0</v>
      </c>
      <c r="O98" s="34">
        <v>0</v>
      </c>
      <c r="P98" s="9">
        <v>1</v>
      </c>
      <c r="Q98" s="37" cm="1">
        <f t="array" aca="1" ref="Q98" ca="1">_xlfn.LET(_xlpm.p,P98,_xlpm.e,E98,_xlpm.k,K98,_xlpm.b,INDEX($Y$54:$AJ$54,1,_xlpm.p),_xlpm.s,INDEX($Y$53:$AJ$53,1,_xlpm.p),IF(_xlpm.e="Undetermined","",IF(T98=1,"#N/A",IF(OR(_xlpm.p&lt;1,_xlpm.p&gt;12),"invalid std",_xlpm.k*10^((_xlpm.e-_xlpm.b)/_xlpm.s)))))</f>
        <v>11.800993151400551</v>
      </c>
      <c r="R98" s="37">
        <f t="shared" ca="1" si="13"/>
        <v>12.18178053565785</v>
      </c>
      <c r="S98" s="37" t="str">
        <f t="shared" ca="1" si="12"/>
        <v/>
      </c>
      <c r="T98" s="9">
        <v>0</v>
      </c>
      <c r="U98" s="10"/>
      <c r="AK98" s="184"/>
    </row>
    <row r="99" spans="1:37" x14ac:dyDescent="0.25">
      <c r="A99" s="25">
        <v>94</v>
      </c>
      <c r="B99" s="156" t="s">
        <v>140</v>
      </c>
      <c r="C99" s="162" t="s">
        <v>203</v>
      </c>
      <c r="D99" s="9" t="s">
        <v>204</v>
      </c>
      <c r="E99" s="163">
        <v>25.1713371942393</v>
      </c>
      <c r="F99" s="164">
        <v>81.055091857910099</v>
      </c>
      <c r="G99" s="171">
        <v>0.1</v>
      </c>
      <c r="H99" s="31" t="str" cm="1">
        <f t="array" ref="H99">IF(ISNUMBER(SEARCH("; ",AG13)), TRIM(INDEX(_xlfn.TEXTSPLIT(AG13,"; "),1)), AG13)</f>
        <v>MiND12240MW-1</v>
      </c>
      <c r="I99" s="31" t="str" cm="1">
        <f t="array" ref="I99">IF(ISNUMBER(SEARCH("; ",AG13)), TRIM(INDEX(_xlfn.TEXTSPLIT(AG13,"; "),2)), "")</f>
        <v>NURG121147</v>
      </c>
      <c r="J99" s="9">
        <v>47</v>
      </c>
      <c r="K99" s="34" t="str">
        <v>10</v>
      </c>
      <c r="L99" s="34">
        <v>1</v>
      </c>
      <c r="M99" s="34">
        <v>0</v>
      </c>
      <c r="N99" s="34">
        <v>0</v>
      </c>
      <c r="O99" s="34">
        <v>0</v>
      </c>
      <c r="P99" s="9">
        <v>1</v>
      </c>
      <c r="Q99" s="37" cm="1">
        <f t="array" aca="1" ref="Q99" ca="1">_xlfn.LET(_xlpm.p,P99,_xlpm.e,E99,_xlpm.k,K99,_xlpm.b,INDEX($Y$54:$AJ$54,1,_xlpm.p),_xlpm.s,INDEX($Y$53:$AJ$53,1,_xlpm.p),IF(_xlpm.e="Undetermined","",IF(T99=1,"#N/A",IF(OR(_xlpm.p&lt;1,_xlpm.p&gt;12),"invalid std",_xlpm.k*10^((_xlpm.e-_xlpm.b)/_xlpm.s)))))</f>
        <v>12.562567919915148</v>
      </c>
      <c r="R99" s="37">
        <f t="shared" ca="1" si="13"/>
        <v>12.18178053565785</v>
      </c>
      <c r="S99" s="37" t="str">
        <f t="shared" ca="1" si="12"/>
        <v/>
      </c>
      <c r="T99" s="9">
        <v>0</v>
      </c>
      <c r="U99" s="10"/>
      <c r="AK99" s="184"/>
    </row>
    <row r="100" spans="1:37" x14ac:dyDescent="0.25">
      <c r="A100" s="25">
        <v>95</v>
      </c>
      <c r="B100" s="156" t="s">
        <v>141</v>
      </c>
      <c r="C100" s="165" t="s">
        <v>203</v>
      </c>
      <c r="D100" s="166" t="s">
        <v>204</v>
      </c>
      <c r="E100" s="166">
        <v>22.2559791041948</v>
      </c>
      <c r="F100" s="164">
        <v>80.765129089355398</v>
      </c>
      <c r="G100" s="171">
        <v>0.1</v>
      </c>
      <c r="H100" s="31" t="str" cm="1">
        <f t="array" ref="H100">IF(ISNUMBER(SEARCH("; ",AH13)), TRIM(INDEX(_xlfn.TEXTSPLIT(AH13,"; "),1)), AH13)</f>
        <v>NFL-QC-H</v>
      </c>
      <c r="I100" s="31" t="str" cm="1">
        <f t="array" ref="I100">IF(ISNUMBER(SEARCH("; ",AH13)), TRIM(INDEX(_xlfn.TEXTSPLIT(AH13,"; "),2)), "")</f>
        <v/>
      </c>
      <c r="J100" s="9">
        <v>48</v>
      </c>
      <c r="K100" s="34" t="str">
        <v>10</v>
      </c>
      <c r="L100" s="34">
        <v>1</v>
      </c>
      <c r="M100" s="34">
        <v>0</v>
      </c>
      <c r="N100" s="34">
        <v>0</v>
      </c>
      <c r="O100" s="34">
        <v>0</v>
      </c>
      <c r="P100" s="9">
        <v>1</v>
      </c>
      <c r="Q100" s="37" cm="1">
        <f t="array" aca="1" ref="Q100" ca="1">_xlfn.LET(_xlpm.p,P100,_xlpm.e,E100,_xlpm.k,K100,_xlpm.b,INDEX($Y$54:$AJ$54,1,_xlpm.p),_xlpm.s,INDEX($Y$53:$AJ$53,1,_xlpm.p),IF(_xlpm.e="Undetermined","",IF(T100=1,"#N/A",IF(OR(_xlpm.p&lt;1,_xlpm.p&gt;12),"invalid std",_xlpm.k*10^((_xlpm.e-_xlpm.b)/_xlpm.s)))))</f>
        <v>96.926214018471555</v>
      </c>
      <c r="R100" s="37">
        <f t="shared" ca="1" si="13"/>
        <v>94.157011383210175</v>
      </c>
      <c r="S100" s="37" t="str">
        <f t="shared" ca="1" si="12"/>
        <v/>
      </c>
      <c r="T100" s="9">
        <v>0</v>
      </c>
      <c r="U100" s="10"/>
      <c r="AK100" s="184"/>
    </row>
    <row r="101" spans="1:37" x14ac:dyDescent="0.25">
      <c r="A101" s="26">
        <v>96</v>
      </c>
      <c r="B101" s="157" t="s">
        <v>142</v>
      </c>
      <c r="C101" s="167" t="s">
        <v>203</v>
      </c>
      <c r="D101" s="168" t="s">
        <v>204</v>
      </c>
      <c r="E101" s="168">
        <v>22.3399313499276</v>
      </c>
      <c r="F101" s="169">
        <v>80.765129089355398</v>
      </c>
      <c r="G101" s="172">
        <v>0.1</v>
      </c>
      <c r="H101" s="32" t="str" cm="1">
        <f t="array" ref="H101">IF(ISNUMBER(SEARCH("; ",AI13)), TRIM(INDEX(_xlfn.TEXTSPLIT(AI13,"; "),1)), AI13)</f>
        <v>NFL-QC-H</v>
      </c>
      <c r="I101" s="32" t="str" cm="1">
        <f t="array" ref="I101">IF(ISNUMBER(SEARCH("; ",AI13)), TRIM(INDEX(_xlfn.TEXTSPLIT(AI13,"; "),2)), "")</f>
        <v/>
      </c>
      <c r="J101" s="11">
        <v>48</v>
      </c>
      <c r="K101" s="35" t="str">
        <v>10</v>
      </c>
      <c r="L101" s="35">
        <v>1</v>
      </c>
      <c r="M101" s="35">
        <v>0</v>
      </c>
      <c r="N101" s="35">
        <v>0</v>
      </c>
      <c r="O101" s="35">
        <v>0</v>
      </c>
      <c r="P101" s="11">
        <v>1</v>
      </c>
      <c r="Q101" s="38" cm="1">
        <f t="array" aca="1" ref="Q101" ca="1">_xlfn.LET(_xlpm.p,P101,_xlpm.e,E101,_xlpm.k,K101,_xlpm.b,INDEX($Y$54:$AJ$54,1,_xlpm.p),_xlpm.s,INDEX($Y$53:$AJ$53,1,_xlpm.p),IF(_xlpm.e="Undetermined","",IF(T101=1,"#N/A",IF(OR(_xlpm.p&lt;1,_xlpm.p&gt;12),"invalid std",_xlpm.k*10^((_xlpm.e-_xlpm.b)/_xlpm.s)))))</f>
        <v>91.38780874794881</v>
      </c>
      <c r="R101" s="38">
        <f t="shared" ca="1" si="13"/>
        <v>94.157011383210175</v>
      </c>
      <c r="S101" s="38" t="str">
        <f t="shared" ca="1" si="12"/>
        <v/>
      </c>
      <c r="T101" s="11">
        <v>0</v>
      </c>
      <c r="U101" s="12"/>
      <c r="AK101" s="184"/>
    </row>
  </sheetData>
  <phoneticPr fontId="11" type="noConversion"/>
  <conditionalFormatting sqref="J6:J101">
    <cfRule type="expression" dxfId="100" priority="114">
      <formula>_xlfn.MAXIFS(E:E,J:J,J6)-_xlfn.MINIFS(E:E,J:J,J6)&gt;0.3785</formula>
    </cfRule>
  </conditionalFormatting>
  <conditionalFormatting sqref="L6:O101">
    <cfRule type="cellIs" dxfId="99" priority="117" operator="equal">
      <formula>0</formula>
    </cfRule>
  </conditionalFormatting>
  <conditionalFormatting sqref="Q6:Q101">
    <cfRule type="containsText" dxfId="98" priority="11" operator="containsText" text="#N/A">
      <formula>NOT(ISERROR(SEARCH("#N/A",Q6)))</formula>
    </cfRule>
  </conditionalFormatting>
  <conditionalFormatting sqref="S6:S101">
    <cfRule type="cellIs" dxfId="97" priority="115" operator="between">
      <formula>1.3</formula>
      <formula>9999999999999990</formula>
    </cfRule>
    <cfRule type="cellIs" dxfId="96" priority="116" operator="between">
      <formula>0.01</formula>
      <formula>0.7</formula>
    </cfRule>
  </conditionalFormatting>
  <conditionalFormatting sqref="T6:T101">
    <cfRule type="cellIs" dxfId="95" priority="10" operator="equal">
      <formula>1</formula>
    </cfRule>
  </conditionalFormatting>
  <conditionalFormatting sqref="X32">
    <cfRule type="expression" dxfId="94" priority="107">
      <formula>_xlfn.MAXIFS(E:E,J:J,J6)-_xlfn.MINIFS(E:E,J:J,J6)&gt;0.3785</formula>
    </cfRule>
  </conditionalFormatting>
  <conditionalFormatting sqref="X33">
    <cfRule type="expression" dxfId="93" priority="106">
      <formula>_xlfn.MAXIFS(E:E,J:J,J18)-_xlfn.MINIFS(E:E,J:J,J18)&gt;0.3785</formula>
    </cfRule>
  </conditionalFormatting>
  <conditionalFormatting sqref="X34">
    <cfRule type="expression" dxfId="92" priority="83">
      <formula>_xlfn.MAXIFS(E:E,J:J,J30)-_xlfn.MINIFS(E:E,J:J,J30)&gt;0.3785</formula>
    </cfRule>
  </conditionalFormatting>
  <conditionalFormatting sqref="X35">
    <cfRule type="expression" dxfId="91" priority="71">
      <formula>_xlfn.MAXIFS(E:E,J:J,J42)-_xlfn.MINIFS(E:E,J:J,J42)&gt;0.3785</formula>
    </cfRule>
  </conditionalFormatting>
  <conditionalFormatting sqref="X36">
    <cfRule type="expression" dxfId="90" priority="59">
      <formula>_xlfn.MAXIFS(E:E,J:J,J54)-_xlfn.MINIFS(E:E,J:J,J54)&gt;0.3785</formula>
    </cfRule>
  </conditionalFormatting>
  <conditionalFormatting sqref="X37">
    <cfRule type="expression" dxfId="89" priority="47">
      <formula>_xlfn.MAXIFS(E:E,J:J,J66)-_xlfn.MINIFS(E:E,J:J,J66)&gt;0.3785</formula>
    </cfRule>
  </conditionalFormatting>
  <conditionalFormatting sqref="X38">
    <cfRule type="expression" dxfId="88" priority="35">
      <formula>_xlfn.MAXIFS(E:E,J:J,J78)-_xlfn.MINIFS(E:E,J:J,J78)&gt;0.3785</formula>
    </cfRule>
  </conditionalFormatting>
  <conditionalFormatting sqref="X39">
    <cfRule type="expression" dxfId="87" priority="23">
      <formula>_xlfn.MAXIFS(E:E,J:J,J90)-_xlfn.MINIFS(E:E,J:J,J90)&gt;0.3785</formula>
    </cfRule>
  </conditionalFormatting>
  <conditionalFormatting sqref="X61:AI68">
    <cfRule type="colorScale" priority="1">
      <colorScale>
        <cfvo type="min"/>
        <cfvo type="max"/>
        <color theme="1"/>
        <color theme="0" tint="-0.499984740745262"/>
      </colorScale>
    </cfRule>
  </conditionalFormatting>
  <conditionalFormatting sqref="X73:AI8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5:AI9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2">
    <cfRule type="expression" dxfId="86" priority="105">
      <formula>_xlfn.MAXIFS(E:E,J:J,J7)-_xlfn.MINIFS(E:E,J:J,J7)&gt;0.3785</formula>
    </cfRule>
  </conditionalFormatting>
  <conditionalFormatting sqref="Y33">
    <cfRule type="expression" dxfId="85" priority="94">
      <formula>_xlfn.MAXIFS(E:E,J:J,J19)-_xlfn.MINIFS(E:E,J:J,J19)&gt;0.3785</formula>
    </cfRule>
  </conditionalFormatting>
  <conditionalFormatting sqref="Y34">
    <cfRule type="expression" dxfId="84" priority="82">
      <formula>_xlfn.MAXIFS(E:E,J:J,J31)-_xlfn.MINIFS(E:E,J:J,J31)&gt;0.3785</formula>
    </cfRule>
  </conditionalFormatting>
  <conditionalFormatting sqref="Y35">
    <cfRule type="expression" dxfId="83" priority="70">
      <formula>_xlfn.MAXIFS(E:E,J:J,J43)-_xlfn.MINIFS(E:E,J:J,J43)&gt;0.3785</formula>
    </cfRule>
  </conditionalFormatting>
  <conditionalFormatting sqref="Y36">
    <cfRule type="expression" dxfId="82" priority="58">
      <formula>_xlfn.MAXIFS(E:E,J:J,J55)-_xlfn.MINIFS(E:E,J:J,J55)&gt;0.3785</formula>
    </cfRule>
  </conditionalFormatting>
  <conditionalFormatting sqref="Y37">
    <cfRule type="expression" dxfId="81" priority="46">
      <formula>_xlfn.MAXIFS(E:E,J:J,J67)-_xlfn.MINIFS(E:E,J:J,J67)&gt;0.3785</formula>
    </cfRule>
  </conditionalFormatting>
  <conditionalFormatting sqref="Y38">
    <cfRule type="expression" dxfId="80" priority="34">
      <formula>_xlfn.MAXIFS(E:E,J:J,J79)-_xlfn.MINIFS(E:E,J:J,J79)&gt;0.3785</formula>
    </cfRule>
  </conditionalFormatting>
  <conditionalFormatting sqref="Y39">
    <cfRule type="expression" dxfId="79" priority="22">
      <formula>_xlfn.MAXIFS(E:E,J:J,J91)-_xlfn.MINIFS(E:E,J:J,J91)&gt;0.3785</formula>
    </cfRule>
  </conditionalFormatting>
  <conditionalFormatting sqref="Z32">
    <cfRule type="expression" dxfId="78" priority="104">
      <formula>_xlfn.MAXIFS(E:E,J:J,J8)-_xlfn.MINIFS(E:E,J:J,J8)&gt;0.3785</formula>
    </cfRule>
  </conditionalFormatting>
  <conditionalFormatting sqref="Z33">
    <cfRule type="expression" dxfId="77" priority="93">
      <formula>_xlfn.MAXIFS(E:E,J:J,J20)-_xlfn.MINIFS(E:E,J:J,J20)&gt;0.3785</formula>
    </cfRule>
  </conditionalFormatting>
  <conditionalFormatting sqref="Z34">
    <cfRule type="expression" dxfId="76" priority="81">
      <formula>_xlfn.MAXIFS(E:E,J:J,J32)-_xlfn.MINIFS(E:E,J:J,J32)&gt;0.3785</formula>
    </cfRule>
  </conditionalFormatting>
  <conditionalFormatting sqref="Z35">
    <cfRule type="expression" dxfId="75" priority="69">
      <formula>_xlfn.MAXIFS(E:E,J:J,J44)-_xlfn.MINIFS(E:E,J:J,J44)&gt;0.3785</formula>
    </cfRule>
  </conditionalFormatting>
  <conditionalFormatting sqref="Z36">
    <cfRule type="expression" dxfId="74" priority="57">
      <formula>_xlfn.MAXIFS(E:E,J:J,J56)-_xlfn.MINIFS(E:E,J:J,J56)&gt;0.3785</formula>
    </cfRule>
  </conditionalFormatting>
  <conditionalFormatting sqref="Z37">
    <cfRule type="expression" dxfId="73" priority="45">
      <formula>_xlfn.MAXIFS(E:E,J:J,J68)-_xlfn.MINIFS(E:E,J:J,J68)&gt;0.3785</formula>
    </cfRule>
  </conditionalFormatting>
  <conditionalFormatting sqref="Z38">
    <cfRule type="expression" dxfId="72" priority="33">
      <formula>_xlfn.MAXIFS(E:E,J:J,J80)-_xlfn.MINIFS(E:E,J:J,J80)&gt;0.3785</formula>
    </cfRule>
  </conditionalFormatting>
  <conditionalFormatting sqref="Z39">
    <cfRule type="expression" dxfId="71" priority="21">
      <formula>_xlfn.MAXIFS(E:E,J:J,J92)-_xlfn.MINIFS(E:E,J:J,J92)&gt;0.3785</formula>
    </cfRule>
  </conditionalFormatting>
  <conditionalFormatting sqref="AA32">
    <cfRule type="expression" dxfId="70" priority="103">
      <formula>_xlfn.MAXIFS(E:E,J:J,J9)-_xlfn.MINIFS(E:E,J:J,J9)&gt;0.3785</formula>
    </cfRule>
  </conditionalFormatting>
  <conditionalFormatting sqref="AA33">
    <cfRule type="expression" dxfId="69" priority="92">
      <formula>_xlfn.MAXIFS(E:E,J:J,J21)-_xlfn.MINIFS(E:E,J:J,J21)&gt;0.3785</formula>
    </cfRule>
  </conditionalFormatting>
  <conditionalFormatting sqref="AA34">
    <cfRule type="expression" dxfId="68" priority="80">
      <formula>_xlfn.MAXIFS(E:E,J:J,J33)-_xlfn.MINIFS(E:E,J:J,J33)&gt;0.3785</formula>
    </cfRule>
  </conditionalFormatting>
  <conditionalFormatting sqref="AA35">
    <cfRule type="expression" dxfId="67" priority="68">
      <formula>_xlfn.MAXIFS(E:E,J:J,J45)-_xlfn.MINIFS(E:E,J:J,J45)&gt;0.3785</formula>
    </cfRule>
  </conditionalFormatting>
  <conditionalFormatting sqref="AA36">
    <cfRule type="expression" dxfId="66" priority="56">
      <formula>_xlfn.MAXIFS(E:E,J:J,J57)-_xlfn.MINIFS(E:E,J:J,J57)&gt;0.3785</formula>
    </cfRule>
  </conditionalFormatting>
  <conditionalFormatting sqref="AA37">
    <cfRule type="expression" dxfId="65" priority="44">
      <formula>_xlfn.MAXIFS(E:E,J:J,J69)-_xlfn.MINIFS(E:E,J:J,J69)&gt;0.3785</formula>
    </cfRule>
  </conditionalFormatting>
  <conditionalFormatting sqref="AA38">
    <cfRule type="expression" dxfId="64" priority="32">
      <formula>_xlfn.MAXIFS(E:E,J:J,J81)-_xlfn.MINIFS(E:E,J:J,J81)&gt;0.3785</formula>
    </cfRule>
  </conditionalFormatting>
  <conditionalFormatting sqref="AA39">
    <cfRule type="expression" dxfId="63" priority="20">
      <formula>_xlfn.MAXIFS(E:E,J:J,J93)-_xlfn.MINIFS(E:E,J:J,J93)&gt;0.3785</formula>
    </cfRule>
  </conditionalFormatting>
  <conditionalFormatting sqref="AB32">
    <cfRule type="expression" dxfId="62" priority="102">
      <formula>_xlfn.MAXIFS(E:E,J:J,J10)-_xlfn.MINIFS(E:E,J:J,J10)&gt;0.3785</formula>
    </cfRule>
  </conditionalFormatting>
  <conditionalFormatting sqref="AB33">
    <cfRule type="expression" dxfId="61" priority="91">
      <formula>_xlfn.MAXIFS(E:E,J:J,J22)-_xlfn.MINIFS(E:E,J:J,J22)&gt;0.3785</formula>
    </cfRule>
  </conditionalFormatting>
  <conditionalFormatting sqref="AB34">
    <cfRule type="expression" dxfId="60" priority="79">
      <formula>_xlfn.MAXIFS(E:E,J:J,J34)-_xlfn.MINIFS(E:E,J:J,J34)&gt;0.3785</formula>
    </cfRule>
  </conditionalFormatting>
  <conditionalFormatting sqref="AB35">
    <cfRule type="expression" dxfId="59" priority="67">
      <formula>_xlfn.MAXIFS(E:E,J:J,J46)-_xlfn.MINIFS(E:E,J:J,J46)&gt;0.3785</formula>
    </cfRule>
  </conditionalFormatting>
  <conditionalFormatting sqref="AB36">
    <cfRule type="expression" dxfId="58" priority="55">
      <formula>_xlfn.MAXIFS(E:E,J:J,J58)-_xlfn.MINIFS(E:E,J:J,J58)&gt;0.3785</formula>
    </cfRule>
  </conditionalFormatting>
  <conditionalFormatting sqref="AB37">
    <cfRule type="expression" dxfId="57" priority="43">
      <formula>_xlfn.MAXIFS(E:E,J:J,J70)-_xlfn.MINIFS(E:E,J:J,J70)&gt;0.3785</formula>
    </cfRule>
  </conditionalFormatting>
  <conditionalFormatting sqref="AB38">
    <cfRule type="expression" dxfId="56" priority="31">
      <formula>_xlfn.MAXIFS(E:E,J:J,J82)-_xlfn.MINIFS(E:E,J:J,J82)&gt;0.3785</formula>
    </cfRule>
  </conditionalFormatting>
  <conditionalFormatting sqref="AB39">
    <cfRule type="expression" dxfId="55" priority="19">
      <formula>_xlfn.MAXIFS(E:E,J:J,J94)-_xlfn.MINIFS(E:E,J:J,J94)&gt;0.3785</formula>
    </cfRule>
  </conditionalFormatting>
  <conditionalFormatting sqref="AC32">
    <cfRule type="expression" dxfId="54" priority="101">
      <formula>_xlfn.MAXIFS(E:E,J:J,J11)-_xlfn.MINIFS(E:E,J:J,J11)&gt;0.3785</formula>
    </cfRule>
  </conditionalFormatting>
  <conditionalFormatting sqref="AC33">
    <cfRule type="expression" dxfId="53" priority="90">
      <formula>_xlfn.MAXIFS(E:E,J:J,J23)-_xlfn.MINIFS(E:E,J:J,J23)&gt;0.3785</formula>
    </cfRule>
  </conditionalFormatting>
  <conditionalFormatting sqref="AC34">
    <cfRule type="expression" dxfId="52" priority="78">
      <formula>_xlfn.MAXIFS(E:E,J:J,J35)-_xlfn.MINIFS(E:E,J:J,J35)&gt;0.3785</formula>
    </cfRule>
  </conditionalFormatting>
  <conditionalFormatting sqref="AC35">
    <cfRule type="expression" dxfId="51" priority="66">
      <formula>_xlfn.MAXIFS(E:E,J:J,J47)-_xlfn.MINIFS(E:E,J:J,J47)&gt;0.3785</formula>
    </cfRule>
  </conditionalFormatting>
  <conditionalFormatting sqref="AC36">
    <cfRule type="expression" dxfId="50" priority="54">
      <formula>_xlfn.MAXIFS(E:E,J:J,J59)-_xlfn.MINIFS(E:E,J:J,J59)&gt;0.3785</formula>
    </cfRule>
  </conditionalFormatting>
  <conditionalFormatting sqref="AC37">
    <cfRule type="expression" dxfId="49" priority="42">
      <formula>_xlfn.MAXIFS(E:E,J:J,J71)-_xlfn.MINIFS(E:E,J:J,J71)&gt;0.3785</formula>
    </cfRule>
  </conditionalFormatting>
  <conditionalFormatting sqref="AC38">
    <cfRule type="expression" dxfId="48" priority="30">
      <formula>_xlfn.MAXIFS(E:E,J:J,J83)-_xlfn.MINIFS(E:E,J:J,J83)&gt;0.3785</formula>
    </cfRule>
  </conditionalFormatting>
  <conditionalFormatting sqref="AC39">
    <cfRule type="expression" dxfId="47" priority="18">
      <formula>_xlfn.MAXIFS(E:E,J:J,J95)-_xlfn.MINIFS(E:E,J:J,J95)&gt;0.3785</formula>
    </cfRule>
  </conditionalFormatting>
  <conditionalFormatting sqref="AD33">
    <cfRule type="expression" dxfId="46" priority="89">
      <formula>_xlfn.MAXIFS(E:E,J:J,J24)-_xlfn.MINIFS(E:E,J:J,J24)&gt;0.3785</formula>
    </cfRule>
  </conditionalFormatting>
  <conditionalFormatting sqref="AD34">
    <cfRule type="expression" dxfId="45" priority="77">
      <formula>_xlfn.MAXIFS(E:E,J:J,J36)-_xlfn.MINIFS(E:E,J:J,J36)&gt;0.3785</formula>
    </cfRule>
  </conditionalFormatting>
  <conditionalFormatting sqref="AD35">
    <cfRule type="expression" dxfId="44" priority="65">
      <formula>_xlfn.MAXIFS(E:E,J:J,J48)-_xlfn.MINIFS(E:E,J:J,J48)&gt;0.3785</formula>
    </cfRule>
  </conditionalFormatting>
  <conditionalFormatting sqref="AD36">
    <cfRule type="expression" dxfId="43" priority="53">
      <formula>_xlfn.MAXIFS(E:E,J:J,J60)-_xlfn.MINIFS(E:E,J:J,J60)&gt;0.3785</formula>
    </cfRule>
  </conditionalFormatting>
  <conditionalFormatting sqref="AD37">
    <cfRule type="expression" dxfId="42" priority="41">
      <formula>_xlfn.MAXIFS(E:E,J:J,J72)-_xlfn.MINIFS(E:E,J:J,J72)&gt;0.3785</formula>
    </cfRule>
  </conditionalFormatting>
  <conditionalFormatting sqref="AD38">
    <cfRule type="expression" dxfId="41" priority="29">
      <formula>_xlfn.MAXIFS(E:E,J:J,J84)-_xlfn.MINIFS(E:E,J:J,J84)&gt;0.3785</formula>
    </cfRule>
  </conditionalFormatting>
  <conditionalFormatting sqref="AD39">
    <cfRule type="expression" dxfId="40" priority="17">
      <formula>_xlfn.MAXIFS(E:E,J:J,J96)-_xlfn.MINIFS(E:E,J:J,J96)&gt;0.3785</formula>
    </cfRule>
  </conditionalFormatting>
  <conditionalFormatting sqref="AE32">
    <cfRule type="expression" dxfId="39" priority="99">
      <formula>_xlfn.MAXIFS(E:E,J:J,J13)-_xlfn.MINIFS(E:E,J:J,J13)&gt;0.3785</formula>
    </cfRule>
  </conditionalFormatting>
  <conditionalFormatting sqref="AE33">
    <cfRule type="expression" dxfId="38" priority="88">
      <formula>_xlfn.MAXIFS(E:E,J:J,J25)-_xlfn.MINIFS(E:E,J:J,J25)&gt;0.3785</formula>
    </cfRule>
  </conditionalFormatting>
  <conditionalFormatting sqref="AE34">
    <cfRule type="expression" dxfId="37" priority="76">
      <formula>_xlfn.MAXIFS(E:E,J:J,J37)-_xlfn.MINIFS(E:E,J:J,J37)&gt;0.3785</formula>
    </cfRule>
  </conditionalFormatting>
  <conditionalFormatting sqref="AE35">
    <cfRule type="expression" dxfId="36" priority="64">
      <formula>_xlfn.MAXIFS(E:E,J:J,J49)-_xlfn.MINIFS(E:E,J:J,J49)&gt;0.3785</formula>
    </cfRule>
  </conditionalFormatting>
  <conditionalFormatting sqref="AE36">
    <cfRule type="expression" dxfId="35" priority="52">
      <formula>_xlfn.MAXIFS(E:E,J:J,J61)-_xlfn.MINIFS(E:E,J:J,J61)&gt;0.3785</formula>
    </cfRule>
  </conditionalFormatting>
  <conditionalFormatting sqref="AE37">
    <cfRule type="expression" dxfId="34" priority="40">
      <formula>_xlfn.MAXIFS(E:E,J:J,J73)-_xlfn.MINIFS(E:E,J:J,J73)&gt;0.3785</formula>
    </cfRule>
  </conditionalFormatting>
  <conditionalFormatting sqref="AE38">
    <cfRule type="expression" dxfId="33" priority="28">
      <formula>_xlfn.MAXIFS(E:E,J:J,J85)-_xlfn.MINIFS(E:E,J:J,J85)&gt;0.3785</formula>
    </cfRule>
  </conditionalFormatting>
  <conditionalFormatting sqref="AE39">
    <cfRule type="expression" dxfId="32" priority="16">
      <formula>_xlfn.MAXIFS(E:E,J:J,J97)-_xlfn.MINIFS(E:E,J:J,J97)&gt;0.3785</formula>
    </cfRule>
  </conditionalFormatting>
  <conditionalFormatting sqref="AF32">
    <cfRule type="expression" dxfId="31" priority="98">
      <formula>"MAXIFS(E:E,J:J,J13)-MINIFS(E:E,J:J,J13)&gt;0.3785"</formula>
    </cfRule>
  </conditionalFormatting>
  <conditionalFormatting sqref="AF33">
    <cfRule type="expression" dxfId="30" priority="87">
      <formula>_xlfn.MAXIFS(E:E,J:J,J26)-_xlfn.MINIFS(E:E,J:J,J26)&gt;0.3785</formula>
    </cfRule>
  </conditionalFormatting>
  <conditionalFormatting sqref="AF34">
    <cfRule type="expression" dxfId="29" priority="75">
      <formula>_xlfn.MAXIFS(E:E,J:J,J38)-_xlfn.MINIFS(E:E,J:J,J38)&gt;0.3785</formula>
    </cfRule>
  </conditionalFormatting>
  <conditionalFormatting sqref="AF35">
    <cfRule type="expression" dxfId="28" priority="63">
      <formula>_xlfn.MAXIFS(E:E,J:J,J50)-_xlfn.MINIFS(E:E,J:J,J50)&gt;0.3785</formula>
    </cfRule>
  </conditionalFormatting>
  <conditionalFormatting sqref="AF36">
    <cfRule type="expression" dxfId="27" priority="51">
      <formula>_xlfn.MAXIFS(E:E,J:J,J62)-_xlfn.MINIFS(E:E,J:J,J62)&gt;0.3785</formula>
    </cfRule>
  </conditionalFormatting>
  <conditionalFormatting sqref="AF37">
    <cfRule type="expression" dxfId="26" priority="39">
      <formula>_xlfn.MAXIFS(E:E,J:J,J74)-_xlfn.MINIFS(E:E,J:J,J74)&gt;0.3785</formula>
    </cfRule>
  </conditionalFormatting>
  <conditionalFormatting sqref="AF38">
    <cfRule type="expression" dxfId="25" priority="27">
      <formula>_xlfn.MAXIFS(E:E,J:J,J86)-_xlfn.MINIFS(E:E,J:J,J86)&gt;0.3785</formula>
    </cfRule>
  </conditionalFormatting>
  <conditionalFormatting sqref="AF39">
    <cfRule type="expression" dxfId="24" priority="15">
      <formula>_xlfn.MAXIFS(E:E,J:J,J98)-_xlfn.MINIFS(E:E,J:J,J98)&gt;0.3785</formula>
    </cfRule>
  </conditionalFormatting>
  <conditionalFormatting sqref="AG32">
    <cfRule type="expression" dxfId="23" priority="97">
      <formula>_xlfn.MAXIFS(E:E,J:J,J15)-_xlfn.MINIFS(E:E,J:J,J15)&gt;0.3785</formula>
    </cfRule>
  </conditionalFormatting>
  <conditionalFormatting sqref="AG33">
    <cfRule type="expression" dxfId="22" priority="86">
      <formula>_xlfn.MAXIFS(E:E,J:J,J27)-_xlfn.MINIFS(E:E,J:J,J27)&gt;0.3785</formula>
    </cfRule>
  </conditionalFormatting>
  <conditionalFormatting sqref="AG34">
    <cfRule type="expression" dxfId="21" priority="74">
      <formula>_xlfn.MAXIFS(E:E,J:J,J39)-_xlfn.MINIFS(E:E,J:J,J39)&gt;0.3785</formula>
    </cfRule>
  </conditionalFormatting>
  <conditionalFormatting sqref="AG35">
    <cfRule type="expression" dxfId="20" priority="62">
      <formula>_xlfn.MAXIFS(E:E,J:J,J51)-_xlfn.MINIFS(E:E,J:J,J51)&gt;0.3785</formula>
    </cfRule>
  </conditionalFormatting>
  <conditionalFormatting sqref="AG36">
    <cfRule type="expression" dxfId="19" priority="50">
      <formula>_xlfn.MAXIFS(E:E,J:J,J63)-_xlfn.MINIFS(E:E,J:J,J63)&gt;0.3785</formula>
    </cfRule>
  </conditionalFormatting>
  <conditionalFormatting sqref="AG37">
    <cfRule type="expression" dxfId="18" priority="38">
      <formula>_xlfn.MAXIFS(E:E,J:J,J75)-_xlfn.MINIFS(E:E,J:J,J75)&gt;0.3785</formula>
    </cfRule>
  </conditionalFormatting>
  <conditionalFormatting sqref="AG38">
    <cfRule type="expression" dxfId="17" priority="26">
      <formula>_xlfn.MAXIFS(E:E,J:J,J87)-_xlfn.MINIFS(E:E,J:J,J87)&gt;0.3785</formula>
    </cfRule>
  </conditionalFormatting>
  <conditionalFormatting sqref="AG39">
    <cfRule type="expression" dxfId="16" priority="14">
      <formula>_xlfn.MAXIFS(E:E,J:J,J99)-_xlfn.MINIFS(E:E,J:J,J99)&gt;0.3785</formula>
    </cfRule>
  </conditionalFormatting>
  <conditionalFormatting sqref="AH32">
    <cfRule type="expression" dxfId="15" priority="96">
      <formula>_xlfn.MAXIFS(E:E,J:J,J16)-_xlfn.MINIFS(E:E,J:J,J16)&gt;0.3785</formula>
    </cfRule>
  </conditionalFormatting>
  <conditionalFormatting sqref="AH33">
    <cfRule type="expression" dxfId="14" priority="85">
      <formula>_xlfn.MAXIFS(E:E,J:J,J28)-_xlfn.MINIFS(E:E,J:J,J28)&gt;0.3785</formula>
    </cfRule>
  </conditionalFormatting>
  <conditionalFormatting sqref="AH34">
    <cfRule type="expression" dxfId="13" priority="73">
      <formula>_xlfn.MAXIFS(E:E,J:J,J40)-_xlfn.MINIFS(E:E,J:J,J40)&gt;0.3785</formula>
    </cfRule>
  </conditionalFormatting>
  <conditionalFormatting sqref="AH35">
    <cfRule type="expression" dxfId="12" priority="61">
      <formula>_xlfn.MAXIFS(E:E,J:J,J52)-_xlfn.MINIFS(E:E,J:J,J52)&gt;0.3785</formula>
    </cfRule>
  </conditionalFormatting>
  <conditionalFormatting sqref="AH36">
    <cfRule type="expression" dxfId="11" priority="49">
      <formula>_xlfn.MAXIFS(E:E,J:J,J64)-_xlfn.MINIFS(E:E,J:J,J64)&gt;0.3785</formula>
    </cfRule>
  </conditionalFormatting>
  <conditionalFormatting sqref="AH37">
    <cfRule type="expression" dxfId="10" priority="37">
      <formula>_xlfn.MAXIFS(E:E,J:J,J76)-_xlfn.MINIFS(E:E,J:J,J76)&gt;0.3785</formula>
    </cfRule>
  </conditionalFormatting>
  <conditionalFormatting sqref="AH38">
    <cfRule type="expression" dxfId="9" priority="25">
      <formula>_xlfn.MAXIFS(E:E,J:J,J88)-_xlfn.MINIFS(E:E,J:J,J88)&gt;0.3785</formula>
    </cfRule>
  </conditionalFormatting>
  <conditionalFormatting sqref="AH39">
    <cfRule type="expression" dxfId="8" priority="13">
      <formula>_xlfn.MAXIFS(E:E,J:J,J100)-_xlfn.MINIFS(E:E,J:J,J100)&gt;0.3785</formula>
    </cfRule>
  </conditionalFormatting>
  <conditionalFormatting sqref="AI32">
    <cfRule type="expression" dxfId="7" priority="95">
      <formula>_xlfn.MAXIFS(E:E,J:J,J17)-_xlfn.MINIFS(E:E,J:J,J17)&gt;0.3785</formula>
    </cfRule>
  </conditionalFormatting>
  <conditionalFormatting sqref="AI33">
    <cfRule type="expression" dxfId="6" priority="84">
      <formula>_xlfn.MAXIFS(E:E,J:J,J29)-_xlfn.MINIFS(E:E,J:J,J29)&gt;0.3785</formula>
    </cfRule>
  </conditionalFormatting>
  <conditionalFormatting sqref="AI34">
    <cfRule type="expression" dxfId="5" priority="72">
      <formula>_xlfn.MAXIFS(E:E,J:J,J41)-_xlfn.MINIFS(E:E,J:J,J41)&gt;0.3785</formula>
    </cfRule>
  </conditionalFormatting>
  <conditionalFormatting sqref="AI35">
    <cfRule type="expression" dxfId="4" priority="60">
      <formula>_xlfn.MAXIFS(E:E,J:J,J53)-_xlfn.MINIFS(E:E,J:J,J53)&gt;0.3785</formula>
    </cfRule>
  </conditionalFormatting>
  <conditionalFormatting sqref="AI36">
    <cfRule type="expression" dxfId="3" priority="48">
      <formula>_xlfn.MAXIFS(E:E,J:J,J65)-_xlfn.MINIFS(E:E,J:J,J65)&gt;0.3785</formula>
    </cfRule>
  </conditionalFormatting>
  <conditionalFormatting sqref="AI37">
    <cfRule type="expression" dxfId="2" priority="36">
      <formula>_xlfn.MAXIFS(E:E,J:J,J77)-_xlfn.MINIFS(E:E,J:J,J77)&gt;0.3785</formula>
    </cfRule>
  </conditionalFormatting>
  <conditionalFormatting sqref="AI38">
    <cfRule type="expression" dxfId="1" priority="24">
      <formula>_xlfn.MAXIFS(E:E,J:J,J89)-_xlfn.MINIFS(E:E,J:J,J89)&gt;0.3785</formula>
    </cfRule>
  </conditionalFormatting>
  <conditionalFormatting sqref="AI39">
    <cfRule type="expression" dxfId="0" priority="12">
      <formula>_xlfn.MAXIFS(E:E,J:J,J101)-_xlfn.MINIFS(E:E,J:J,J101)&gt;0.3785</formula>
    </cfRule>
  </conditionalFormatting>
  <pageMargins left="0.7" right="0.7" top="0.75" bottom="0.75" header="0.3" footer="0.3"/>
  <pageSetup paperSize="9" scale="22" orientation="portrait" r:id="rId1"/>
  <ignoredErrors>
    <ignoredError sqref="X73:AI74 X76:AI80 I6:I102 Y46:Y52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Smith</dc:creator>
  <cp:lastModifiedBy>Jeff Smith</cp:lastModifiedBy>
  <dcterms:created xsi:type="dcterms:W3CDTF">2023-04-14T08:00:29Z</dcterms:created>
  <dcterms:modified xsi:type="dcterms:W3CDTF">2025-12-18T02:58:22Z</dcterms:modified>
</cp:coreProperties>
</file>